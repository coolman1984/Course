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port" sheetId="2" state="visible" r:id="rId4"/>
    <sheet name="Pivots" sheetId="3" state="visible" r:id="rId5"/>
    <sheet name="Data" sheetId="4" state="visible" r:id="rId6"/>
    <sheet name="Models" sheetId="5" state="visible" r:id="rId7"/>
    <sheet name="Countries" sheetId="6" state="visible" r:id="rId8"/>
  </sheets>
  <calcPr iterateCount="100" refMode="A1" iterate="false" iterateDelta="0.001"/>
  <pivotCaches>
    <pivotCache cacheId="1" r:id="rId10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<sst xmlns="http://schemas.openxmlformats.org/spreadsheetml/2006/main" count="7779" uniqueCount="1365">
  <si>
    <t xml:space="preserve">Production dashboard - Q3 2026</t>
  </si>
  <si>
    <t xml:space="preserve">Slicers: click a pivot table on the Pivots sheet, then PivotTable Analyze &gt; Insert Slicer (Month, LineCode, CountryName), then Report Connections: tick all three tables.</t>
  </si>
  <si>
    <t xml:space="preserve">Total sets</t>
  </si>
  <si>
    <t xml:space="preserve">Value (EGP million)</t>
  </si>
  <si>
    <t xml:space="preserve">Export share</t>
  </si>
  <si>
    <t xml:space="preserve">Top model</t>
  </si>
  <si>
    <t xml:space="preserve">Production report - third quarter 2026 (1 July to 30 September)</t>
  </si>
  <si>
    <t xml:space="preserve">Total value (EGP)</t>
  </si>
  <si>
    <t xml:space="preserve">Month</t>
  </si>
  <si>
    <t xml:space="preserve">Sets</t>
  </si>
  <si>
    <t xml:space="preserve">Value (EGP)</t>
  </si>
  <si>
    <t xml:space="preserve">Line</t>
  </si>
  <si>
    <t xml:space="preserve">2026-07</t>
  </si>
  <si>
    <t xml:space="preserve">L01</t>
  </si>
  <si>
    <t xml:space="preserve">2026-08</t>
  </si>
  <si>
    <t xml:space="preserve">L02</t>
  </si>
  <si>
    <t xml:space="preserve">2026-09</t>
  </si>
  <si>
    <t xml:space="preserve">L03</t>
  </si>
  <si>
    <t xml:space="preserve">Total</t>
  </si>
  <si>
    <t xml:space="preserve">L04</t>
  </si>
  <si>
    <t xml:space="preserve">L05</t>
  </si>
  <si>
    <t xml:space="preserve">L06</t>
  </si>
  <si>
    <t xml:space="preserve">Country</t>
  </si>
  <si>
    <t xml:space="preserve">Egypt</t>
  </si>
  <si>
    <t xml:space="preserve">Iraq</t>
  </si>
  <si>
    <t xml:space="preserve">Jordan</t>
  </si>
  <si>
    <t xml:space="preserve">Saudi Arabia</t>
  </si>
  <si>
    <t xml:space="preserve">Kenya</t>
  </si>
  <si>
    <t xml:space="preserve">United Arab Emirates</t>
  </si>
  <si>
    <t xml:space="preserve">Nigeria</t>
  </si>
  <si>
    <t xml:space="preserve">Morocco</t>
  </si>
  <si>
    <t xml:space="preserve">Libya</t>
  </si>
  <si>
    <t xml:space="preserve">Kuwait</t>
  </si>
  <si>
    <t xml:space="preserve">Model</t>
  </si>
  <si>
    <t xml:space="preserve">32-inch Smart TV</t>
  </si>
  <si>
    <t xml:space="preserve">32-inch HD TV</t>
  </si>
  <si>
    <t xml:space="preserve">24-inch HD TV</t>
  </si>
  <si>
    <t xml:space="preserve">43-inch Full HD TV</t>
  </si>
  <si>
    <t xml:space="preserve">40-inch Full HD TV</t>
  </si>
  <si>
    <t xml:space="preserve">43-inch Smart TV</t>
  </si>
  <si>
    <t xml:space="preserve">55-inch QLED TV</t>
  </si>
  <si>
    <t xml:space="preserve">55-inch 4K TV</t>
  </si>
  <si>
    <t xml:space="preserve">50-inch 4K TV</t>
  </si>
  <si>
    <t xml:space="preserve">65-inch QLED TV</t>
  </si>
  <si>
    <t xml:space="preserve">65-inch 4K TV</t>
  </si>
  <si>
    <t xml:space="preserve">75-inch 4K TV</t>
  </si>
  <si>
    <t xml:space="preserve">Pivot tables over the Data sheet (Data &gt; Refresh All updates them)</t>
  </si>
  <si>
    <t xml:space="preserve">Sum - Qty</t>
  </si>
  <si>
    <t xml:space="preserve">LineCode</t>
  </si>
  <si>
    <t xml:space="preserve">Total Result</t>
  </si>
  <si>
    <t xml:space="preserve">CountryName</t>
  </si>
  <si>
    <t xml:space="preserve">Data</t>
  </si>
  <si>
    <t xml:space="preserve">ModelName</t>
  </si>
  <si>
    <t xml:space="preserve">Sum - Value</t>
  </si>
  <si>
    <t xml:space="preserve">Total Sum - Qty</t>
  </si>
  <si>
    <t xml:space="preserve">Total Sum - Value</t>
  </si>
  <si>
    <t xml:space="preserve">Date</t>
  </si>
  <si>
    <t xml:space="preserve">WorkOrder</t>
  </si>
  <si>
    <t xml:space="preserve">ModelCode</t>
  </si>
  <si>
    <t xml:space="preserve">CountryCode</t>
  </si>
  <si>
    <t xml:space="preserve">Qty</t>
  </si>
  <si>
    <t xml:space="preserve">Value</t>
  </si>
  <si>
    <t xml:space="preserve">SourceFile</t>
  </si>
  <si>
    <t xml:space="preserve">WO-4102001</t>
  </si>
  <si>
    <t xml:space="preserve">M103</t>
  </si>
  <si>
    <t xml:space="preserve">JO</t>
  </si>
  <si>
    <t xml:space="preserve">Week_01.xlsx</t>
  </si>
  <si>
    <t xml:space="preserve">WO-4102002</t>
  </si>
  <si>
    <t xml:space="preserve">M107</t>
  </si>
  <si>
    <t xml:space="preserve">EG</t>
  </si>
  <si>
    <t xml:space="preserve">WO-4102003</t>
  </si>
  <si>
    <t xml:space="preserve">M105</t>
  </si>
  <si>
    <t xml:space="preserve">KE</t>
  </si>
  <si>
    <t xml:space="preserve">WO-4102004</t>
  </si>
  <si>
    <t xml:space="preserve">M104</t>
  </si>
  <si>
    <t xml:space="preserve">NG</t>
  </si>
  <si>
    <t xml:space="preserve">WO-4102005</t>
  </si>
  <si>
    <t xml:space="preserve">M111</t>
  </si>
  <si>
    <t xml:space="preserve">WO-4102006</t>
  </si>
  <si>
    <t xml:space="preserve">IQ</t>
  </si>
  <si>
    <t xml:space="preserve">WO-4102007</t>
  </si>
  <si>
    <t xml:space="preserve">M106</t>
  </si>
  <si>
    <t xml:space="preserve">WO-4102008</t>
  </si>
  <si>
    <t xml:space="preserve">AE</t>
  </si>
  <si>
    <t xml:space="preserve">WO-4102009</t>
  </si>
  <si>
    <t xml:space="preserve">M112</t>
  </si>
  <si>
    <t xml:space="preserve">WO-4102010</t>
  </si>
  <si>
    <t xml:space="preserve">WO-4102011</t>
  </si>
  <si>
    <t xml:space="preserve">M101</t>
  </si>
  <si>
    <t xml:space="preserve">WO-4102012</t>
  </si>
  <si>
    <t xml:space="preserve">M108</t>
  </si>
  <si>
    <t xml:space="preserve">WO-4102013</t>
  </si>
  <si>
    <t xml:space="preserve">M110</t>
  </si>
  <si>
    <t xml:space="preserve">WO-4102014</t>
  </si>
  <si>
    <t xml:space="preserve">WO-4102015</t>
  </si>
  <si>
    <t xml:space="preserve">M102</t>
  </si>
  <si>
    <t xml:space="preserve">WO-4102016</t>
  </si>
  <si>
    <t xml:space="preserve">WO-4102017</t>
  </si>
  <si>
    <t xml:space="preserve">LY</t>
  </si>
  <si>
    <t xml:space="preserve">WO-4102018</t>
  </si>
  <si>
    <t xml:space="preserve">WO-4102019</t>
  </si>
  <si>
    <t xml:space="preserve">KW</t>
  </si>
  <si>
    <t xml:space="preserve">WO-4102020</t>
  </si>
  <si>
    <t xml:space="preserve">MA</t>
  </si>
  <si>
    <t xml:space="preserve">WO-4102021</t>
  </si>
  <si>
    <t xml:space="preserve">WO-4102022</t>
  </si>
  <si>
    <t xml:space="preserve">WO-4102023</t>
  </si>
  <si>
    <t xml:space="preserve">WO-4102024</t>
  </si>
  <si>
    <t xml:space="preserve">WO-4102025</t>
  </si>
  <si>
    <t xml:space="preserve">M109</t>
  </si>
  <si>
    <t xml:space="preserve">WO-4102026</t>
  </si>
  <si>
    <t xml:space="preserve">WO-4102027</t>
  </si>
  <si>
    <t xml:space="preserve">WO-4102028</t>
  </si>
  <si>
    <t xml:space="preserve">WO-4102029</t>
  </si>
  <si>
    <t xml:space="preserve">WO-4102030</t>
  </si>
  <si>
    <t xml:space="preserve">WO-4102031</t>
  </si>
  <si>
    <t xml:space="preserve">WO-4102032</t>
  </si>
  <si>
    <t xml:space="preserve">WO-4102033</t>
  </si>
  <si>
    <t xml:space="preserve">WO-4102034</t>
  </si>
  <si>
    <t xml:space="preserve">WO-4102035</t>
  </si>
  <si>
    <t xml:space="preserve">WO-4102036</t>
  </si>
  <si>
    <t xml:space="preserve">WO-4102037</t>
  </si>
  <si>
    <t xml:space="preserve">WO-4102038</t>
  </si>
  <si>
    <t xml:space="preserve">WO-4102039</t>
  </si>
  <si>
    <t xml:space="preserve">WO-4102040</t>
  </si>
  <si>
    <t xml:space="preserve">WO-4102041</t>
  </si>
  <si>
    <t xml:space="preserve">WO-4102042</t>
  </si>
  <si>
    <t xml:space="preserve">WO-4102043</t>
  </si>
  <si>
    <t xml:space="preserve">WO-4102044</t>
  </si>
  <si>
    <t xml:space="preserve">WO-4102045</t>
  </si>
  <si>
    <t xml:space="preserve">WO-4102046</t>
  </si>
  <si>
    <t xml:space="preserve">WO-4102047</t>
  </si>
  <si>
    <t xml:space="preserve">WO-4102048</t>
  </si>
  <si>
    <t xml:space="preserve">WO-4102049</t>
  </si>
  <si>
    <t xml:space="preserve">WO-4102050</t>
  </si>
  <si>
    <t xml:space="preserve">WO-4102051</t>
  </si>
  <si>
    <t xml:space="preserve">WO-4102052</t>
  </si>
  <si>
    <t xml:space="preserve">WO-4102053</t>
  </si>
  <si>
    <t xml:space="preserve">WO-4102054</t>
  </si>
  <si>
    <t xml:space="preserve">WO-4102055</t>
  </si>
  <si>
    <t xml:space="preserve">WO-4102056</t>
  </si>
  <si>
    <t xml:space="preserve">WO-4102057</t>
  </si>
  <si>
    <t xml:space="preserve">WO-4102058</t>
  </si>
  <si>
    <t xml:space="preserve">WO-4102059</t>
  </si>
  <si>
    <t xml:space="preserve">WO-4102060</t>
  </si>
  <si>
    <t xml:space="preserve">WO-4102061</t>
  </si>
  <si>
    <t xml:space="preserve">WO-4102062</t>
  </si>
  <si>
    <t xml:space="preserve">WO-4102063</t>
  </si>
  <si>
    <t xml:space="preserve">WO-4102064</t>
  </si>
  <si>
    <t xml:space="preserve">WO-4102065</t>
  </si>
  <si>
    <t xml:space="preserve">WO-4102066</t>
  </si>
  <si>
    <t xml:space="preserve">WO-4102067</t>
  </si>
  <si>
    <t xml:space="preserve">WO-4102068</t>
  </si>
  <si>
    <t xml:space="preserve">WO-4102069</t>
  </si>
  <si>
    <t xml:space="preserve">WO-4102070</t>
  </si>
  <si>
    <t xml:space="preserve">WO-4102071</t>
  </si>
  <si>
    <t xml:space="preserve">WO-4102072</t>
  </si>
  <si>
    <t xml:space="preserve">WO-4102073</t>
  </si>
  <si>
    <t xml:space="preserve">WO-4102074</t>
  </si>
  <si>
    <t xml:space="preserve">WO-4102075</t>
  </si>
  <si>
    <t xml:space="preserve">WO-4102076</t>
  </si>
  <si>
    <t xml:space="preserve">WO-4102077</t>
  </si>
  <si>
    <t xml:space="preserve">WO-4102078</t>
  </si>
  <si>
    <t xml:space="preserve">WO-4102079</t>
  </si>
  <si>
    <t xml:space="preserve">WO-4102080</t>
  </si>
  <si>
    <t xml:space="preserve">WO-4102081</t>
  </si>
  <si>
    <t xml:space="preserve">WO-4102082</t>
  </si>
  <si>
    <t xml:space="preserve">WO-4102083</t>
  </si>
  <si>
    <t xml:space="preserve">WO-4102084</t>
  </si>
  <si>
    <t xml:space="preserve">WO-4102085</t>
  </si>
  <si>
    <t xml:space="preserve">WO-4102086</t>
  </si>
  <si>
    <t xml:space="preserve">WO-4102087</t>
  </si>
  <si>
    <t xml:space="preserve">WO-4102088</t>
  </si>
  <si>
    <t xml:space="preserve">WO-4102089</t>
  </si>
  <si>
    <t xml:space="preserve">WO-4102090</t>
  </si>
  <si>
    <t xml:space="preserve">WO-4102091</t>
  </si>
  <si>
    <t xml:space="preserve">WO-4102092</t>
  </si>
  <si>
    <t xml:space="preserve">SA</t>
  </si>
  <si>
    <t xml:space="preserve">Week_02.xlsx</t>
  </si>
  <si>
    <t xml:space="preserve">WO-4102093</t>
  </si>
  <si>
    <t xml:space="preserve">WO-4102094</t>
  </si>
  <si>
    <t xml:space="preserve">WO-4102095</t>
  </si>
  <si>
    <t xml:space="preserve">WO-4102096</t>
  </si>
  <si>
    <t xml:space="preserve">WO-4102097</t>
  </si>
  <si>
    <t xml:space="preserve">WO-4102098</t>
  </si>
  <si>
    <t xml:space="preserve">WO-4102099</t>
  </si>
  <si>
    <t xml:space="preserve">WO-4102100</t>
  </si>
  <si>
    <t xml:space="preserve">WO-4102101</t>
  </si>
  <si>
    <t xml:space="preserve">WO-4102102</t>
  </si>
  <si>
    <t xml:space="preserve">WO-4102103</t>
  </si>
  <si>
    <t xml:space="preserve">WO-4102104</t>
  </si>
  <si>
    <t xml:space="preserve">WO-4102105</t>
  </si>
  <si>
    <t xml:space="preserve">WO-4102106</t>
  </si>
  <si>
    <t xml:space="preserve">WO-4102107</t>
  </si>
  <si>
    <t xml:space="preserve">WO-4102108</t>
  </si>
  <si>
    <t xml:space="preserve">WO-4102109</t>
  </si>
  <si>
    <t xml:space="preserve">WO-4102110</t>
  </si>
  <si>
    <t xml:space="preserve">WO-4102111</t>
  </si>
  <si>
    <t xml:space="preserve">WO-4102112</t>
  </si>
  <si>
    <t xml:space="preserve">WO-4102113</t>
  </si>
  <si>
    <t xml:space="preserve">WO-4102114</t>
  </si>
  <si>
    <t xml:space="preserve">WO-4102115</t>
  </si>
  <si>
    <t xml:space="preserve">WO-4102116</t>
  </si>
  <si>
    <t xml:space="preserve">WO-4102117</t>
  </si>
  <si>
    <t xml:space="preserve">WO-4102118</t>
  </si>
  <si>
    <t xml:space="preserve">WO-4102119</t>
  </si>
  <si>
    <t xml:space="preserve">WO-4102120</t>
  </si>
  <si>
    <t xml:space="preserve">WO-4102121</t>
  </si>
  <si>
    <t xml:space="preserve">WO-4102122</t>
  </si>
  <si>
    <t xml:space="preserve">WO-4102123</t>
  </si>
  <si>
    <t xml:space="preserve">WO-4102124</t>
  </si>
  <si>
    <t xml:space="preserve">WO-4102125</t>
  </si>
  <si>
    <t xml:space="preserve">WO-4102126</t>
  </si>
  <si>
    <t xml:space="preserve">WO-4102127</t>
  </si>
  <si>
    <t xml:space="preserve">WO-4102128</t>
  </si>
  <si>
    <t xml:space="preserve">WO-4102129</t>
  </si>
  <si>
    <t xml:space="preserve">WO-4102130</t>
  </si>
  <si>
    <t xml:space="preserve">WO-4102131</t>
  </si>
  <si>
    <t xml:space="preserve">WO-4102132</t>
  </si>
  <si>
    <t xml:space="preserve">WO-4102133</t>
  </si>
  <si>
    <t xml:space="preserve">WO-4102134</t>
  </si>
  <si>
    <t xml:space="preserve">WO-4102135</t>
  </si>
  <si>
    <t xml:space="preserve">WO-4102136</t>
  </si>
  <si>
    <t xml:space="preserve">WO-4102137</t>
  </si>
  <si>
    <t xml:space="preserve">WO-4102138</t>
  </si>
  <si>
    <t xml:space="preserve">WO-4102139</t>
  </si>
  <si>
    <t xml:space="preserve">WO-4102140</t>
  </si>
  <si>
    <t xml:space="preserve">WO-4102141</t>
  </si>
  <si>
    <t xml:space="preserve">WO-4102142</t>
  </si>
  <si>
    <t xml:space="preserve">WO-4102143</t>
  </si>
  <si>
    <t xml:space="preserve">WO-4102144</t>
  </si>
  <si>
    <t xml:space="preserve">WO-4102145</t>
  </si>
  <si>
    <t xml:space="preserve">WO-4102146</t>
  </si>
  <si>
    <t xml:space="preserve">WO-4102147</t>
  </si>
  <si>
    <t xml:space="preserve">WO-4102148</t>
  </si>
  <si>
    <t xml:space="preserve">WO-4102149</t>
  </si>
  <si>
    <t xml:space="preserve">WO-4102150</t>
  </si>
  <si>
    <t xml:space="preserve">WO-4102151</t>
  </si>
  <si>
    <t xml:space="preserve">WO-4102152</t>
  </si>
  <si>
    <t xml:space="preserve">WO-4102153</t>
  </si>
  <si>
    <t xml:space="preserve">WO-4102154</t>
  </si>
  <si>
    <t xml:space="preserve">WO-4102155</t>
  </si>
  <si>
    <t xml:space="preserve">WO-4102156</t>
  </si>
  <si>
    <t xml:space="preserve">WO-4102157</t>
  </si>
  <si>
    <t xml:space="preserve">WO-4102158</t>
  </si>
  <si>
    <t xml:space="preserve">WO-4102159</t>
  </si>
  <si>
    <t xml:space="preserve">WO-4102160</t>
  </si>
  <si>
    <t xml:space="preserve">WO-4102161</t>
  </si>
  <si>
    <t xml:space="preserve">WO-4102162</t>
  </si>
  <si>
    <t xml:space="preserve">WO-4102163</t>
  </si>
  <si>
    <t xml:space="preserve">WO-4102164</t>
  </si>
  <si>
    <t xml:space="preserve">WO-4102165</t>
  </si>
  <si>
    <t xml:space="preserve">WO-4102166</t>
  </si>
  <si>
    <t xml:space="preserve">WO-4102167</t>
  </si>
  <si>
    <t xml:space="preserve">WO-4102168</t>
  </si>
  <si>
    <t xml:space="preserve">WO-4102169</t>
  </si>
  <si>
    <t xml:space="preserve">WO-4102170</t>
  </si>
  <si>
    <t xml:space="preserve">WO-4102171</t>
  </si>
  <si>
    <t xml:space="preserve">WO-4102172</t>
  </si>
  <si>
    <t xml:space="preserve">WO-4102173</t>
  </si>
  <si>
    <t xml:space="preserve">WO-4102174</t>
  </si>
  <si>
    <t xml:space="preserve">WO-4102175</t>
  </si>
  <si>
    <t xml:space="preserve">WO-4102176</t>
  </si>
  <si>
    <t xml:space="preserve">WO-4102177</t>
  </si>
  <si>
    <t xml:space="preserve">WO-4102178</t>
  </si>
  <si>
    <t xml:space="preserve">WO-4102179</t>
  </si>
  <si>
    <t xml:space="preserve">WO-4102180</t>
  </si>
  <si>
    <t xml:space="preserve">WO-4102181</t>
  </si>
  <si>
    <t xml:space="preserve">WO-4102182</t>
  </si>
  <si>
    <t xml:space="preserve">WO-4102183</t>
  </si>
  <si>
    <t xml:space="preserve">WO-4102184</t>
  </si>
  <si>
    <t xml:space="preserve">WO-4102185</t>
  </si>
  <si>
    <t xml:space="preserve">WO-4102186</t>
  </si>
  <si>
    <t xml:space="preserve">WO-4102187</t>
  </si>
  <si>
    <t xml:space="preserve">WO-4102188</t>
  </si>
  <si>
    <t xml:space="preserve">WO-4102189</t>
  </si>
  <si>
    <t xml:space="preserve">WO-4102190</t>
  </si>
  <si>
    <t xml:space="preserve">WO-4102191</t>
  </si>
  <si>
    <t xml:space="preserve">WO-4102192</t>
  </si>
  <si>
    <t xml:space="preserve">WO-4102193</t>
  </si>
  <si>
    <t xml:space="preserve">WO-4102194</t>
  </si>
  <si>
    <t xml:space="preserve">WO-4102195</t>
  </si>
  <si>
    <t xml:space="preserve">WO-4102196</t>
  </si>
  <si>
    <t xml:space="preserve">WO-4102197</t>
  </si>
  <si>
    <t xml:space="preserve">WO-4102198</t>
  </si>
  <si>
    <t xml:space="preserve">WO-4102199</t>
  </si>
  <si>
    <t xml:space="preserve">WO-4102200</t>
  </si>
  <si>
    <t xml:space="preserve">WO-4102201</t>
  </si>
  <si>
    <t xml:space="preserve">WO-4102202</t>
  </si>
  <si>
    <t xml:space="preserve">WO-4102203</t>
  </si>
  <si>
    <t xml:space="preserve">WO-4102204</t>
  </si>
  <si>
    <t xml:space="preserve">WO-4102205</t>
  </si>
  <si>
    <t xml:space="preserve">Week_03.xlsx</t>
  </si>
  <si>
    <t xml:space="preserve">WO-4102206</t>
  </si>
  <si>
    <t xml:space="preserve">WO-4102207</t>
  </si>
  <si>
    <t xml:space="preserve">WO-4102208</t>
  </si>
  <si>
    <t xml:space="preserve">WO-4102209</t>
  </si>
  <si>
    <t xml:space="preserve">WO-4102210</t>
  </si>
  <si>
    <t xml:space="preserve">WO-4102211</t>
  </si>
  <si>
    <t xml:space="preserve">WO-4102212</t>
  </si>
  <si>
    <t xml:space="preserve">WO-4102213</t>
  </si>
  <si>
    <t xml:space="preserve">WO-4102214</t>
  </si>
  <si>
    <t xml:space="preserve">WO-4102215</t>
  </si>
  <si>
    <t xml:space="preserve">WO-4102216</t>
  </si>
  <si>
    <t xml:space="preserve">WO-4102217</t>
  </si>
  <si>
    <t xml:space="preserve">WO-4102218</t>
  </si>
  <si>
    <t xml:space="preserve">WO-4102219</t>
  </si>
  <si>
    <t xml:space="preserve">WO-4102220</t>
  </si>
  <si>
    <t xml:space="preserve">WO-4102221</t>
  </si>
  <si>
    <t xml:space="preserve">WO-4102222</t>
  </si>
  <si>
    <t xml:space="preserve">WO-4102223</t>
  </si>
  <si>
    <t xml:space="preserve">WO-4102224</t>
  </si>
  <si>
    <t xml:space="preserve">WO-4102225</t>
  </si>
  <si>
    <t xml:space="preserve">WO-4102226</t>
  </si>
  <si>
    <t xml:space="preserve">WO-4102227</t>
  </si>
  <si>
    <t xml:space="preserve">WO-4102228</t>
  </si>
  <si>
    <t xml:space="preserve">WO-4102229</t>
  </si>
  <si>
    <t xml:space="preserve">WO-4102230</t>
  </si>
  <si>
    <t xml:space="preserve">WO-4102231</t>
  </si>
  <si>
    <t xml:space="preserve">WO-4102232</t>
  </si>
  <si>
    <t xml:space="preserve">WO-4102233</t>
  </si>
  <si>
    <t xml:space="preserve">WO-4102234</t>
  </si>
  <si>
    <t xml:space="preserve">WO-4102235</t>
  </si>
  <si>
    <t xml:space="preserve">WO-4102236</t>
  </si>
  <si>
    <t xml:space="preserve">WO-4102237</t>
  </si>
  <si>
    <t xml:space="preserve">WO-4102238</t>
  </si>
  <si>
    <t xml:space="preserve">WO-4102239</t>
  </si>
  <si>
    <t xml:space="preserve">WO-4102240</t>
  </si>
  <si>
    <t xml:space="preserve">WO-4102241</t>
  </si>
  <si>
    <t xml:space="preserve">WO-4102242</t>
  </si>
  <si>
    <t xml:space="preserve">WO-4102243</t>
  </si>
  <si>
    <t xml:space="preserve">WO-4102244</t>
  </si>
  <si>
    <t xml:space="preserve">WO-4102245</t>
  </si>
  <si>
    <t xml:space="preserve">WO-4102246</t>
  </si>
  <si>
    <t xml:space="preserve">WO-4102247</t>
  </si>
  <si>
    <t xml:space="preserve">WO-4102248</t>
  </si>
  <si>
    <t xml:space="preserve">WO-4102249</t>
  </si>
  <si>
    <t xml:space="preserve">WO-4102250</t>
  </si>
  <si>
    <t xml:space="preserve">WO-4102251</t>
  </si>
  <si>
    <t xml:space="preserve">WO-4102252</t>
  </si>
  <si>
    <t xml:space="preserve">WO-4102253</t>
  </si>
  <si>
    <t xml:space="preserve">WO-4102254</t>
  </si>
  <si>
    <t xml:space="preserve">WO-4102255</t>
  </si>
  <si>
    <t xml:space="preserve">WO-4102256</t>
  </si>
  <si>
    <t xml:space="preserve">WO-4102257</t>
  </si>
  <si>
    <t xml:space="preserve">WO-4102258</t>
  </si>
  <si>
    <t xml:space="preserve">WO-4102259</t>
  </si>
  <si>
    <t xml:space="preserve">WO-4102260</t>
  </si>
  <si>
    <t xml:space="preserve">WO-4102261</t>
  </si>
  <si>
    <t xml:space="preserve">WO-4102262</t>
  </si>
  <si>
    <t xml:space="preserve">WO-4102263</t>
  </si>
  <si>
    <t xml:space="preserve">WO-4102264</t>
  </si>
  <si>
    <t xml:space="preserve">WO-4102265</t>
  </si>
  <si>
    <t xml:space="preserve">WO-4102266</t>
  </si>
  <si>
    <t xml:space="preserve">WO-4102267</t>
  </si>
  <si>
    <t xml:space="preserve">WO-4102268</t>
  </si>
  <si>
    <t xml:space="preserve">WO-4102269</t>
  </si>
  <si>
    <t xml:space="preserve">WO-4102270</t>
  </si>
  <si>
    <t xml:space="preserve">WO-4102271</t>
  </si>
  <si>
    <t xml:space="preserve">WO-4102272</t>
  </si>
  <si>
    <t xml:space="preserve">WO-4102273</t>
  </si>
  <si>
    <t xml:space="preserve">WO-4102274</t>
  </si>
  <si>
    <t xml:space="preserve">WO-4102275</t>
  </si>
  <si>
    <t xml:space="preserve">WO-4102276</t>
  </si>
  <si>
    <t xml:space="preserve">WO-4102277</t>
  </si>
  <si>
    <t xml:space="preserve">WO-4102278</t>
  </si>
  <si>
    <t xml:space="preserve">WO-4102279</t>
  </si>
  <si>
    <t xml:space="preserve">WO-4102280</t>
  </si>
  <si>
    <t xml:space="preserve">WO-4102281</t>
  </si>
  <si>
    <t xml:space="preserve">WO-4102282</t>
  </si>
  <si>
    <t xml:space="preserve">WO-4102283</t>
  </si>
  <si>
    <t xml:space="preserve">WO-4102284</t>
  </si>
  <si>
    <t xml:space="preserve">WO-4102285</t>
  </si>
  <si>
    <t xml:space="preserve">WO-4102286</t>
  </si>
  <si>
    <t xml:space="preserve">WO-4102287</t>
  </si>
  <si>
    <t xml:space="preserve">WO-4102288</t>
  </si>
  <si>
    <t xml:space="preserve">WO-4102289</t>
  </si>
  <si>
    <t xml:space="preserve">WO-4102290</t>
  </si>
  <si>
    <t xml:space="preserve">WO-4102291</t>
  </si>
  <si>
    <t xml:space="preserve">WO-4102292</t>
  </si>
  <si>
    <t xml:space="preserve">WO-4102293</t>
  </si>
  <si>
    <t xml:space="preserve">WO-4102294</t>
  </si>
  <si>
    <t xml:space="preserve">WO-4102295</t>
  </si>
  <si>
    <t xml:space="preserve">WO-4102296</t>
  </si>
  <si>
    <t xml:space="preserve">WO-4102297</t>
  </si>
  <si>
    <t xml:space="preserve">WO-4102298</t>
  </si>
  <si>
    <t xml:space="preserve">WO-4102299</t>
  </si>
  <si>
    <t xml:space="preserve">Week_04.xlsx</t>
  </si>
  <si>
    <t xml:space="preserve">WO-4102300</t>
  </si>
  <si>
    <t xml:space="preserve">WO-4102301</t>
  </si>
  <si>
    <t xml:space="preserve">WO-4102302</t>
  </si>
  <si>
    <t xml:space="preserve">WO-4102303</t>
  </si>
  <si>
    <t xml:space="preserve">WO-4102304</t>
  </si>
  <si>
    <t xml:space="preserve">WO-4102305</t>
  </si>
  <si>
    <t xml:space="preserve">WO-4102306</t>
  </si>
  <si>
    <t xml:space="preserve">WO-4102307</t>
  </si>
  <si>
    <t xml:space="preserve">WO-4102308</t>
  </si>
  <si>
    <t xml:space="preserve">WO-4102309</t>
  </si>
  <si>
    <t xml:space="preserve">WO-4102310</t>
  </si>
  <si>
    <t xml:space="preserve">WO-4102311</t>
  </si>
  <si>
    <t xml:space="preserve">WO-4102312</t>
  </si>
  <si>
    <t xml:space="preserve">WO-4102313</t>
  </si>
  <si>
    <t xml:space="preserve">WO-4102314</t>
  </si>
  <si>
    <t xml:space="preserve">WO-4102315</t>
  </si>
  <si>
    <t xml:space="preserve">WO-4102316</t>
  </si>
  <si>
    <t xml:space="preserve">WO-4102317</t>
  </si>
  <si>
    <t xml:space="preserve">WO-4102318</t>
  </si>
  <si>
    <t xml:space="preserve">WO-4102319</t>
  </si>
  <si>
    <t xml:space="preserve">WO-4102320</t>
  </si>
  <si>
    <t xml:space="preserve">WO-4102321</t>
  </si>
  <si>
    <t xml:space="preserve">WO-4102322</t>
  </si>
  <si>
    <t xml:space="preserve">WO-4102323</t>
  </si>
  <si>
    <t xml:space="preserve">WO-4102324</t>
  </si>
  <si>
    <t xml:space="preserve">WO-4102325</t>
  </si>
  <si>
    <t xml:space="preserve">WO-4102326</t>
  </si>
  <si>
    <t xml:space="preserve">WO-4102327</t>
  </si>
  <si>
    <t xml:space="preserve">WO-4102328</t>
  </si>
  <si>
    <t xml:space="preserve">WO-4102329</t>
  </si>
  <si>
    <t xml:space="preserve">WO-4102330</t>
  </si>
  <si>
    <t xml:space="preserve">WO-4102331</t>
  </si>
  <si>
    <t xml:space="preserve">WO-4102332</t>
  </si>
  <si>
    <t xml:space="preserve">WO-4102333</t>
  </si>
  <si>
    <t xml:space="preserve">WO-4102334</t>
  </si>
  <si>
    <t xml:space="preserve">WO-4102335</t>
  </si>
  <si>
    <t xml:space="preserve">WO-4102336</t>
  </si>
  <si>
    <t xml:space="preserve">WO-4102337</t>
  </si>
  <si>
    <t xml:space="preserve">WO-4102338</t>
  </si>
  <si>
    <t xml:space="preserve">WO-4102339</t>
  </si>
  <si>
    <t xml:space="preserve">WO-4102340</t>
  </si>
  <si>
    <t xml:space="preserve">WO-4102341</t>
  </si>
  <si>
    <t xml:space="preserve">WO-4102342</t>
  </si>
  <si>
    <t xml:space="preserve">WO-4102343</t>
  </si>
  <si>
    <t xml:space="preserve">WO-4102344</t>
  </si>
  <si>
    <t xml:space="preserve">WO-4102345</t>
  </si>
  <si>
    <t xml:space="preserve">WO-4102346</t>
  </si>
  <si>
    <t xml:space="preserve">WO-4102347</t>
  </si>
  <si>
    <t xml:space="preserve">WO-4102348</t>
  </si>
  <si>
    <t xml:space="preserve">WO-4102349</t>
  </si>
  <si>
    <t xml:space="preserve">WO-4102350</t>
  </si>
  <si>
    <t xml:space="preserve">WO-4102351</t>
  </si>
  <si>
    <t xml:space="preserve">WO-4102352</t>
  </si>
  <si>
    <t xml:space="preserve">WO-4102353</t>
  </si>
  <si>
    <t xml:space="preserve">WO-4102354</t>
  </si>
  <si>
    <t xml:space="preserve">WO-4102355</t>
  </si>
  <si>
    <t xml:space="preserve">WO-4102356</t>
  </si>
  <si>
    <t xml:space="preserve">WO-4102357</t>
  </si>
  <si>
    <t xml:space="preserve">WO-4102358</t>
  </si>
  <si>
    <t xml:space="preserve">WO-4102359</t>
  </si>
  <si>
    <t xml:space="preserve">WO-4102360</t>
  </si>
  <si>
    <t xml:space="preserve">WO-4102361</t>
  </si>
  <si>
    <t xml:space="preserve">WO-4102362</t>
  </si>
  <si>
    <t xml:space="preserve">WO-4102363</t>
  </si>
  <si>
    <t xml:space="preserve">WO-4102364</t>
  </si>
  <si>
    <t xml:space="preserve">WO-4102365</t>
  </si>
  <si>
    <t xml:space="preserve">WO-4102366</t>
  </si>
  <si>
    <t xml:space="preserve">WO-4102367</t>
  </si>
  <si>
    <t xml:space="preserve">WO-4102368</t>
  </si>
  <si>
    <t xml:space="preserve">WO-4102369</t>
  </si>
  <si>
    <t xml:space="preserve">WO-4102370</t>
  </si>
  <si>
    <t xml:space="preserve">WO-4102371</t>
  </si>
  <si>
    <t xml:space="preserve">WO-4102372</t>
  </si>
  <si>
    <t xml:space="preserve">WO-4102373</t>
  </si>
  <si>
    <t xml:space="preserve">WO-4102374</t>
  </si>
  <si>
    <t xml:space="preserve">WO-4102375</t>
  </si>
  <si>
    <t xml:space="preserve">WO-4102376</t>
  </si>
  <si>
    <t xml:space="preserve">WO-4102377</t>
  </si>
  <si>
    <t xml:space="preserve">WO-4102378</t>
  </si>
  <si>
    <t xml:space="preserve">WO-4102379</t>
  </si>
  <si>
    <t xml:space="preserve">WO-4102380</t>
  </si>
  <si>
    <t xml:space="preserve">WO-4102381</t>
  </si>
  <si>
    <t xml:space="preserve">WO-4102382</t>
  </si>
  <si>
    <t xml:space="preserve">WO-4102383</t>
  </si>
  <si>
    <t xml:space="preserve">WO-4102384</t>
  </si>
  <si>
    <t xml:space="preserve">WO-4102385</t>
  </si>
  <si>
    <t xml:space="preserve">WO-4102386</t>
  </si>
  <si>
    <t xml:space="preserve">WO-4102387</t>
  </si>
  <si>
    <t xml:space="preserve">WO-4102388</t>
  </si>
  <si>
    <t xml:space="preserve">WO-4102389</t>
  </si>
  <si>
    <t xml:space="preserve">WO-4102390</t>
  </si>
  <si>
    <t xml:space="preserve">WO-4102391</t>
  </si>
  <si>
    <t xml:space="preserve">WO-4102392</t>
  </si>
  <si>
    <t xml:space="preserve">WO-4102393</t>
  </si>
  <si>
    <t xml:space="preserve">WO-4102394</t>
  </si>
  <si>
    <t xml:space="preserve">WO-4102395</t>
  </si>
  <si>
    <t xml:space="preserve">WO-4102396</t>
  </si>
  <si>
    <t xml:space="preserve">WO-4102397</t>
  </si>
  <si>
    <t xml:space="preserve">WO-4102398</t>
  </si>
  <si>
    <t xml:space="preserve">WO-4102399</t>
  </si>
  <si>
    <t xml:space="preserve">WO-4102400</t>
  </si>
  <si>
    <t xml:space="preserve">WO-4102401</t>
  </si>
  <si>
    <t xml:space="preserve">Week_05.xlsx</t>
  </si>
  <si>
    <t xml:space="preserve">WO-4102402</t>
  </si>
  <si>
    <t xml:space="preserve">WO-4102403</t>
  </si>
  <si>
    <t xml:space="preserve">WO-4102404</t>
  </si>
  <si>
    <t xml:space="preserve">WO-4102405</t>
  </si>
  <si>
    <t xml:space="preserve">WO-4102406</t>
  </si>
  <si>
    <t xml:space="preserve">WO-4102407</t>
  </si>
  <si>
    <t xml:space="preserve">WO-4102408</t>
  </si>
  <si>
    <t xml:space="preserve">WO-4102409</t>
  </si>
  <si>
    <t xml:space="preserve">WO-4102410</t>
  </si>
  <si>
    <t xml:space="preserve">WO-4102411</t>
  </si>
  <si>
    <t xml:space="preserve">WO-4102412</t>
  </si>
  <si>
    <t xml:space="preserve">WO-4102413</t>
  </si>
  <si>
    <t xml:space="preserve">WO-4102414</t>
  </si>
  <si>
    <t xml:space="preserve">WO-4102415</t>
  </si>
  <si>
    <t xml:space="preserve">WO-4102416</t>
  </si>
  <si>
    <t xml:space="preserve">WO-4102417</t>
  </si>
  <si>
    <t xml:space="preserve">WO-4102418</t>
  </si>
  <si>
    <t xml:space="preserve">WO-4102419</t>
  </si>
  <si>
    <t xml:space="preserve">WO-4102420</t>
  </si>
  <si>
    <t xml:space="preserve">WO-4102421</t>
  </si>
  <si>
    <t xml:space="preserve">WO-4102422</t>
  </si>
  <si>
    <t xml:space="preserve">WO-4102423</t>
  </si>
  <si>
    <t xml:space="preserve">WO-4102424</t>
  </si>
  <si>
    <t xml:space="preserve">WO-4102425</t>
  </si>
  <si>
    <t xml:space="preserve">WO-4102426</t>
  </si>
  <si>
    <t xml:space="preserve">WO-4102427</t>
  </si>
  <si>
    <t xml:space="preserve">WO-4102428</t>
  </si>
  <si>
    <t xml:space="preserve">WO-4102429</t>
  </si>
  <si>
    <t xml:space="preserve">WO-4102430</t>
  </si>
  <si>
    <t xml:space="preserve">WO-4102431</t>
  </si>
  <si>
    <t xml:space="preserve">WO-4102432</t>
  </si>
  <si>
    <t xml:space="preserve">WO-4102433</t>
  </si>
  <si>
    <t xml:space="preserve">WO-4102434</t>
  </si>
  <si>
    <t xml:space="preserve">WO-4102435</t>
  </si>
  <si>
    <t xml:space="preserve">WO-4102436</t>
  </si>
  <si>
    <t xml:space="preserve">WO-4102437</t>
  </si>
  <si>
    <t xml:space="preserve">WO-4102438</t>
  </si>
  <si>
    <t xml:space="preserve">WO-4102439</t>
  </si>
  <si>
    <t xml:space="preserve">WO-4102440</t>
  </si>
  <si>
    <t xml:space="preserve">WO-4102441</t>
  </si>
  <si>
    <t xml:space="preserve">WO-4102442</t>
  </si>
  <si>
    <t xml:space="preserve">WO-4102443</t>
  </si>
  <si>
    <t xml:space="preserve">WO-4102444</t>
  </si>
  <si>
    <t xml:space="preserve">WO-4102445</t>
  </si>
  <si>
    <t xml:space="preserve">WO-4102446</t>
  </si>
  <si>
    <t xml:space="preserve">WO-4102447</t>
  </si>
  <si>
    <t xml:space="preserve">WO-4102448</t>
  </si>
  <si>
    <t xml:space="preserve">WO-4102449</t>
  </si>
  <si>
    <t xml:space="preserve">WO-4102450</t>
  </si>
  <si>
    <t xml:space="preserve">WO-4102451</t>
  </si>
  <si>
    <t xml:space="preserve">WO-4102452</t>
  </si>
  <si>
    <t xml:space="preserve">WO-4102453</t>
  </si>
  <si>
    <t xml:space="preserve">WO-4102454</t>
  </si>
  <si>
    <t xml:space="preserve">WO-4102455</t>
  </si>
  <si>
    <t xml:space="preserve">WO-4102456</t>
  </si>
  <si>
    <t xml:space="preserve">WO-4102457</t>
  </si>
  <si>
    <t xml:space="preserve">WO-4102458</t>
  </si>
  <si>
    <t xml:space="preserve">WO-4102459</t>
  </si>
  <si>
    <t xml:space="preserve">WO-4102460</t>
  </si>
  <si>
    <t xml:space="preserve">WO-4102461</t>
  </si>
  <si>
    <t xml:space="preserve">WO-4102462</t>
  </si>
  <si>
    <t xml:space="preserve">WO-4102463</t>
  </si>
  <si>
    <t xml:space="preserve">WO-4102464</t>
  </si>
  <si>
    <t xml:space="preserve">WO-4102465</t>
  </si>
  <si>
    <t xml:space="preserve">WO-4102466</t>
  </si>
  <si>
    <t xml:space="preserve">WO-4102467</t>
  </si>
  <si>
    <t xml:space="preserve">WO-4102468</t>
  </si>
  <si>
    <t xml:space="preserve">WO-4102469</t>
  </si>
  <si>
    <t xml:space="preserve">WO-4102470</t>
  </si>
  <si>
    <t xml:space="preserve">WO-4102471</t>
  </si>
  <si>
    <t xml:space="preserve">WO-4102472</t>
  </si>
  <si>
    <t xml:space="preserve">WO-4102473</t>
  </si>
  <si>
    <t xml:space="preserve">WO-4102474</t>
  </si>
  <si>
    <t xml:space="preserve">WO-4102475</t>
  </si>
  <si>
    <t xml:space="preserve">WO-4102476</t>
  </si>
  <si>
    <t xml:space="preserve">WO-4102477</t>
  </si>
  <si>
    <t xml:space="preserve">WO-4102478</t>
  </si>
  <si>
    <t xml:space="preserve">WO-4102479</t>
  </si>
  <si>
    <t xml:space="preserve">WO-4102480</t>
  </si>
  <si>
    <t xml:space="preserve">WO-4102481</t>
  </si>
  <si>
    <t xml:space="preserve">WO-4102482</t>
  </si>
  <si>
    <t xml:space="preserve">WO-4102483</t>
  </si>
  <si>
    <t xml:space="preserve">WO-4102484</t>
  </si>
  <si>
    <t xml:space="preserve">WO-4102485</t>
  </si>
  <si>
    <t xml:space="preserve">WO-4102486</t>
  </si>
  <si>
    <t xml:space="preserve">WO-4102487</t>
  </si>
  <si>
    <t xml:space="preserve">Week_06.xlsx</t>
  </si>
  <si>
    <t xml:space="preserve">WO-4102488</t>
  </si>
  <si>
    <t xml:space="preserve">WO-4102489</t>
  </si>
  <si>
    <t xml:space="preserve">WO-4102490</t>
  </si>
  <si>
    <t xml:space="preserve">WO-4102491</t>
  </si>
  <si>
    <t xml:space="preserve">WO-4102492</t>
  </si>
  <si>
    <t xml:space="preserve">WO-4102493</t>
  </si>
  <si>
    <t xml:space="preserve">WO-4102494</t>
  </si>
  <si>
    <t xml:space="preserve">WO-4102495</t>
  </si>
  <si>
    <t xml:space="preserve">WO-4102496</t>
  </si>
  <si>
    <t xml:space="preserve">WO-4102497</t>
  </si>
  <si>
    <t xml:space="preserve">WO-4102498</t>
  </si>
  <si>
    <t xml:space="preserve">WO-4102499</t>
  </si>
  <si>
    <t xml:space="preserve">WO-4102500</t>
  </si>
  <si>
    <t xml:space="preserve">WO-4102501</t>
  </si>
  <si>
    <t xml:space="preserve">WO-4102502</t>
  </si>
  <si>
    <t xml:space="preserve">WO-4102503</t>
  </si>
  <si>
    <t xml:space="preserve">WO-4102504</t>
  </si>
  <si>
    <t xml:space="preserve">WO-4102505</t>
  </si>
  <si>
    <t xml:space="preserve">WO-4102506</t>
  </si>
  <si>
    <t xml:space="preserve">WO-4102507</t>
  </si>
  <si>
    <t xml:space="preserve">WO-4102508</t>
  </si>
  <si>
    <t xml:space="preserve">WO-4102509</t>
  </si>
  <si>
    <t xml:space="preserve">WO-4102510</t>
  </si>
  <si>
    <t xml:space="preserve">WO-4102511</t>
  </si>
  <si>
    <t xml:space="preserve">WO-4102512</t>
  </si>
  <si>
    <t xml:space="preserve">WO-4102513</t>
  </si>
  <si>
    <t xml:space="preserve">WO-4102514</t>
  </si>
  <si>
    <t xml:space="preserve">WO-4102515</t>
  </si>
  <si>
    <t xml:space="preserve">WO-4102516</t>
  </si>
  <si>
    <t xml:space="preserve">WO-4102517</t>
  </si>
  <si>
    <t xml:space="preserve">WO-4102518</t>
  </si>
  <si>
    <t xml:space="preserve">WO-4102519</t>
  </si>
  <si>
    <t xml:space="preserve">WO-4102520</t>
  </si>
  <si>
    <t xml:space="preserve">WO-4102521</t>
  </si>
  <si>
    <t xml:space="preserve">WO-4102522</t>
  </si>
  <si>
    <t xml:space="preserve">WO-4102523</t>
  </si>
  <si>
    <t xml:space="preserve">WO-4102524</t>
  </si>
  <si>
    <t xml:space="preserve">WO-4102525</t>
  </si>
  <si>
    <t xml:space="preserve">WO-4102526</t>
  </si>
  <si>
    <t xml:space="preserve">WO-4102527</t>
  </si>
  <si>
    <t xml:space="preserve">WO-4102528</t>
  </si>
  <si>
    <t xml:space="preserve">WO-4102529</t>
  </si>
  <si>
    <t xml:space="preserve">WO-4102530</t>
  </si>
  <si>
    <t xml:space="preserve">WO-4102531</t>
  </si>
  <si>
    <t xml:space="preserve">WO-4102532</t>
  </si>
  <si>
    <t xml:space="preserve">WO-4102533</t>
  </si>
  <si>
    <t xml:space="preserve">WO-4102534</t>
  </si>
  <si>
    <t xml:space="preserve">WO-4102535</t>
  </si>
  <si>
    <t xml:space="preserve">WO-4102536</t>
  </si>
  <si>
    <t xml:space="preserve">WO-4102537</t>
  </si>
  <si>
    <t xml:space="preserve">WO-4102538</t>
  </si>
  <si>
    <t xml:space="preserve">WO-4102539</t>
  </si>
  <si>
    <t xml:space="preserve">WO-4102540</t>
  </si>
  <si>
    <t xml:space="preserve">WO-4102541</t>
  </si>
  <si>
    <t xml:space="preserve">WO-4102542</t>
  </si>
  <si>
    <t xml:space="preserve">WO-4102543</t>
  </si>
  <si>
    <t xml:space="preserve">WO-4102544</t>
  </si>
  <si>
    <t xml:space="preserve">WO-4102545</t>
  </si>
  <si>
    <t xml:space="preserve">WO-4102546</t>
  </si>
  <si>
    <t xml:space="preserve">WO-4102547</t>
  </si>
  <si>
    <t xml:space="preserve">WO-4102548</t>
  </si>
  <si>
    <t xml:space="preserve">WO-4102549</t>
  </si>
  <si>
    <t xml:space="preserve">WO-4102550</t>
  </si>
  <si>
    <t xml:space="preserve">WO-4102551</t>
  </si>
  <si>
    <t xml:space="preserve">WO-4102552</t>
  </si>
  <si>
    <t xml:space="preserve">WO-4102553</t>
  </si>
  <si>
    <t xml:space="preserve">WO-4102554</t>
  </si>
  <si>
    <t xml:space="preserve">WO-4102555</t>
  </si>
  <si>
    <t xml:space="preserve">WO-4102556</t>
  </si>
  <si>
    <t xml:space="preserve">WO-4102557</t>
  </si>
  <si>
    <t xml:space="preserve">WO-4102558</t>
  </si>
  <si>
    <t xml:space="preserve">WO-4102559</t>
  </si>
  <si>
    <t xml:space="preserve">WO-4102560</t>
  </si>
  <si>
    <t xml:space="preserve">WO-4102561</t>
  </si>
  <si>
    <t xml:space="preserve">WO-4102562</t>
  </si>
  <si>
    <t xml:space="preserve">WO-4102563</t>
  </si>
  <si>
    <t xml:space="preserve">WO-4102564</t>
  </si>
  <si>
    <t xml:space="preserve">WO-4102565</t>
  </si>
  <si>
    <t xml:space="preserve">WO-4102566</t>
  </si>
  <si>
    <t xml:space="preserve">WO-4102567</t>
  </si>
  <si>
    <t xml:space="preserve">WO-4102568</t>
  </si>
  <si>
    <t xml:space="preserve">WO-4102569</t>
  </si>
  <si>
    <t xml:space="preserve">WO-4102570</t>
  </si>
  <si>
    <t xml:space="preserve">WO-4102571</t>
  </si>
  <si>
    <t xml:space="preserve">WO-4102572</t>
  </si>
  <si>
    <t xml:space="preserve">WO-4102573</t>
  </si>
  <si>
    <t xml:space="preserve">WO-4102574</t>
  </si>
  <si>
    <t xml:space="preserve">WO-4102575</t>
  </si>
  <si>
    <t xml:space="preserve">WO-4102576</t>
  </si>
  <si>
    <t xml:space="preserve">WO-4102577</t>
  </si>
  <si>
    <t xml:space="preserve">WO-4102578</t>
  </si>
  <si>
    <t xml:space="preserve">WO-4102579</t>
  </si>
  <si>
    <t xml:space="preserve">WO-4102580</t>
  </si>
  <si>
    <t xml:space="preserve">Week_07.xlsx</t>
  </si>
  <si>
    <t xml:space="preserve">WO-4102581</t>
  </si>
  <si>
    <t xml:space="preserve">WO-4102582</t>
  </si>
  <si>
    <t xml:space="preserve">WO-4102583</t>
  </si>
  <si>
    <t xml:space="preserve">WO-4102584</t>
  </si>
  <si>
    <t xml:space="preserve">WO-4102585</t>
  </si>
  <si>
    <t xml:space="preserve">WO-4102586</t>
  </si>
  <si>
    <t xml:space="preserve">WO-4102587</t>
  </si>
  <si>
    <t xml:space="preserve">WO-4102588</t>
  </si>
  <si>
    <t xml:space="preserve">WO-4102589</t>
  </si>
  <si>
    <t xml:space="preserve">WO-4102590</t>
  </si>
  <si>
    <t xml:space="preserve">WO-4102591</t>
  </si>
  <si>
    <t xml:space="preserve">WO-4102592</t>
  </si>
  <si>
    <t xml:space="preserve">WO-4102593</t>
  </si>
  <si>
    <t xml:space="preserve">WO-4102594</t>
  </si>
  <si>
    <t xml:space="preserve">WO-4102595</t>
  </si>
  <si>
    <t xml:space="preserve">WO-4102596</t>
  </si>
  <si>
    <t xml:space="preserve">WO-4102597</t>
  </si>
  <si>
    <t xml:space="preserve">WO-4102598</t>
  </si>
  <si>
    <t xml:space="preserve">WO-4102599</t>
  </si>
  <si>
    <t xml:space="preserve">WO-4102600</t>
  </si>
  <si>
    <t xml:space="preserve">WO-4102601</t>
  </si>
  <si>
    <t xml:space="preserve">WO-4102602</t>
  </si>
  <si>
    <t xml:space="preserve">WO-4102603</t>
  </si>
  <si>
    <t xml:space="preserve">WO-4102604</t>
  </si>
  <si>
    <t xml:space="preserve">WO-4102605</t>
  </si>
  <si>
    <t xml:space="preserve">WO-4102606</t>
  </si>
  <si>
    <t xml:space="preserve">WO-4102607</t>
  </si>
  <si>
    <t xml:space="preserve">WO-4102608</t>
  </si>
  <si>
    <t xml:space="preserve">WO-4102609</t>
  </si>
  <si>
    <t xml:space="preserve">WO-4102610</t>
  </si>
  <si>
    <t xml:space="preserve">WO-4102611</t>
  </si>
  <si>
    <t xml:space="preserve">WO-4102612</t>
  </si>
  <si>
    <t xml:space="preserve">WO-4102613</t>
  </si>
  <si>
    <t xml:space="preserve">WO-4102614</t>
  </si>
  <si>
    <t xml:space="preserve">WO-4102615</t>
  </si>
  <si>
    <t xml:space="preserve">WO-4102616</t>
  </si>
  <si>
    <t xml:space="preserve">WO-4102617</t>
  </si>
  <si>
    <t xml:space="preserve">WO-4102618</t>
  </si>
  <si>
    <t xml:space="preserve">WO-4102619</t>
  </si>
  <si>
    <t xml:space="preserve">WO-4102620</t>
  </si>
  <si>
    <t xml:space="preserve">WO-4102621</t>
  </si>
  <si>
    <t xml:space="preserve">WO-4102622</t>
  </si>
  <si>
    <t xml:space="preserve">WO-4102623</t>
  </si>
  <si>
    <t xml:space="preserve">WO-4102624</t>
  </si>
  <si>
    <t xml:space="preserve">WO-4102625</t>
  </si>
  <si>
    <t xml:space="preserve">WO-4102626</t>
  </si>
  <si>
    <t xml:space="preserve">WO-4102627</t>
  </si>
  <si>
    <t xml:space="preserve">WO-4102628</t>
  </si>
  <si>
    <t xml:space="preserve">WO-4102629</t>
  </si>
  <si>
    <t xml:space="preserve">WO-4102630</t>
  </si>
  <si>
    <t xml:space="preserve">WO-4102631</t>
  </si>
  <si>
    <t xml:space="preserve">WO-4102632</t>
  </si>
  <si>
    <t xml:space="preserve">WO-4102633</t>
  </si>
  <si>
    <t xml:space="preserve">WO-4102634</t>
  </si>
  <si>
    <t xml:space="preserve">WO-4102635</t>
  </si>
  <si>
    <t xml:space="preserve">WO-4102636</t>
  </si>
  <si>
    <t xml:space="preserve">WO-4102637</t>
  </si>
  <si>
    <t xml:space="preserve">WO-4102638</t>
  </si>
  <si>
    <t xml:space="preserve">WO-4102639</t>
  </si>
  <si>
    <t xml:space="preserve">WO-4102640</t>
  </si>
  <si>
    <t xml:space="preserve">WO-4102641</t>
  </si>
  <si>
    <t xml:space="preserve">WO-4102642</t>
  </si>
  <si>
    <t xml:space="preserve">WO-4102643</t>
  </si>
  <si>
    <t xml:space="preserve">WO-4102644</t>
  </si>
  <si>
    <t xml:space="preserve">WO-4102645</t>
  </si>
  <si>
    <t xml:space="preserve">WO-4102646</t>
  </si>
  <si>
    <t xml:space="preserve">WO-4102647</t>
  </si>
  <si>
    <t xml:space="preserve">WO-4102648</t>
  </si>
  <si>
    <t xml:space="preserve">WO-4102649</t>
  </si>
  <si>
    <t xml:space="preserve">WO-4102650</t>
  </si>
  <si>
    <t xml:space="preserve">WO-4102651</t>
  </si>
  <si>
    <t xml:space="preserve">WO-4102652</t>
  </si>
  <si>
    <t xml:space="preserve">WO-4102653</t>
  </si>
  <si>
    <t xml:space="preserve">WO-4102654</t>
  </si>
  <si>
    <t xml:space="preserve">WO-4102655</t>
  </si>
  <si>
    <t xml:space="preserve">WO-4102656</t>
  </si>
  <si>
    <t xml:space="preserve">WO-4102657</t>
  </si>
  <si>
    <t xml:space="preserve">WO-4102658</t>
  </si>
  <si>
    <t xml:space="preserve">WO-4102659</t>
  </si>
  <si>
    <t xml:space="preserve">WO-4102660</t>
  </si>
  <si>
    <t xml:space="preserve">WO-4102661</t>
  </si>
  <si>
    <t xml:space="preserve">Week_08.xlsx</t>
  </si>
  <si>
    <t xml:space="preserve">WO-4102662</t>
  </si>
  <si>
    <t xml:space="preserve">WO-4102663</t>
  </si>
  <si>
    <t xml:space="preserve">WO-4102664</t>
  </si>
  <si>
    <t xml:space="preserve">WO-4102665</t>
  </si>
  <si>
    <t xml:space="preserve">WO-4102666</t>
  </si>
  <si>
    <t xml:space="preserve">WO-4102667</t>
  </si>
  <si>
    <t xml:space="preserve">WO-4102668</t>
  </si>
  <si>
    <t xml:space="preserve">WO-4102669</t>
  </si>
  <si>
    <t xml:space="preserve">WO-4102670</t>
  </si>
  <si>
    <t xml:space="preserve">WO-4102671</t>
  </si>
  <si>
    <t xml:space="preserve">WO-4102672</t>
  </si>
  <si>
    <t xml:space="preserve">WO-4102673</t>
  </si>
  <si>
    <t xml:space="preserve">WO-4102674</t>
  </si>
  <si>
    <t xml:space="preserve">WO-4102675</t>
  </si>
  <si>
    <t xml:space="preserve">WO-4102676</t>
  </si>
  <si>
    <t xml:space="preserve">WO-4102677</t>
  </si>
  <si>
    <t xml:space="preserve">WO-4102678</t>
  </si>
  <si>
    <t xml:space="preserve">WO-4102679</t>
  </si>
  <si>
    <t xml:space="preserve">WO-4102680</t>
  </si>
  <si>
    <t xml:space="preserve">WO-4102681</t>
  </si>
  <si>
    <t xml:space="preserve">WO-4102682</t>
  </si>
  <si>
    <t xml:space="preserve">WO-4102683</t>
  </si>
  <si>
    <t xml:space="preserve">WO-4102684</t>
  </si>
  <si>
    <t xml:space="preserve">WO-4102685</t>
  </si>
  <si>
    <t xml:space="preserve">WO-4102686</t>
  </si>
  <si>
    <t xml:space="preserve">WO-4102687</t>
  </si>
  <si>
    <t xml:space="preserve">WO-4102688</t>
  </si>
  <si>
    <t xml:space="preserve">WO-4102689</t>
  </si>
  <si>
    <t xml:space="preserve">WO-4102690</t>
  </si>
  <si>
    <t xml:space="preserve">WO-4102691</t>
  </si>
  <si>
    <t xml:space="preserve">WO-4102692</t>
  </si>
  <si>
    <t xml:space="preserve">WO-4102693</t>
  </si>
  <si>
    <t xml:space="preserve">WO-4102694</t>
  </si>
  <si>
    <t xml:space="preserve">WO-4102695</t>
  </si>
  <si>
    <t xml:space="preserve">WO-4102696</t>
  </si>
  <si>
    <t xml:space="preserve">WO-4102697</t>
  </si>
  <si>
    <t xml:space="preserve">WO-4102698</t>
  </si>
  <si>
    <t xml:space="preserve">WO-4102699</t>
  </si>
  <si>
    <t xml:space="preserve">WO-4102700</t>
  </si>
  <si>
    <t xml:space="preserve">WO-4102701</t>
  </si>
  <si>
    <t xml:space="preserve">WO-4102702</t>
  </si>
  <si>
    <t xml:space="preserve">WO-4102703</t>
  </si>
  <si>
    <t xml:space="preserve">WO-4102704</t>
  </si>
  <si>
    <t xml:space="preserve">WO-4102705</t>
  </si>
  <si>
    <t xml:space="preserve">WO-4102706</t>
  </si>
  <si>
    <t xml:space="preserve">WO-4102707</t>
  </si>
  <si>
    <t xml:space="preserve">WO-4102708</t>
  </si>
  <si>
    <t xml:space="preserve">WO-4102709</t>
  </si>
  <si>
    <t xml:space="preserve">WO-4102710</t>
  </si>
  <si>
    <t xml:space="preserve">WO-4102711</t>
  </si>
  <si>
    <t xml:space="preserve">WO-4102712</t>
  </si>
  <si>
    <t xml:space="preserve">WO-4102713</t>
  </si>
  <si>
    <t xml:space="preserve">WO-4102714</t>
  </si>
  <si>
    <t xml:space="preserve">WO-4102715</t>
  </si>
  <si>
    <t xml:space="preserve">WO-4102716</t>
  </si>
  <si>
    <t xml:space="preserve">WO-4102717</t>
  </si>
  <si>
    <t xml:space="preserve">WO-4102718</t>
  </si>
  <si>
    <t xml:space="preserve">WO-4102719</t>
  </si>
  <si>
    <t xml:space="preserve">WO-4102720</t>
  </si>
  <si>
    <t xml:space="preserve">WO-4102721</t>
  </si>
  <si>
    <t xml:space="preserve">WO-4102722</t>
  </si>
  <si>
    <t xml:space="preserve">WO-4102723</t>
  </si>
  <si>
    <t xml:space="preserve">WO-4102724</t>
  </si>
  <si>
    <t xml:space="preserve">WO-4102725</t>
  </si>
  <si>
    <t xml:space="preserve">WO-4102726</t>
  </si>
  <si>
    <t xml:space="preserve">WO-4102727</t>
  </si>
  <si>
    <t xml:space="preserve">WO-4102728</t>
  </si>
  <si>
    <t xml:space="preserve">WO-4102729</t>
  </si>
  <si>
    <t xml:space="preserve">WO-4102730</t>
  </si>
  <si>
    <t xml:space="preserve">WO-4102731</t>
  </si>
  <si>
    <t xml:space="preserve">WO-4102732</t>
  </si>
  <si>
    <t xml:space="preserve">WO-4102733</t>
  </si>
  <si>
    <t xml:space="preserve">WO-4102734</t>
  </si>
  <si>
    <t xml:space="preserve">WO-4102735</t>
  </si>
  <si>
    <t xml:space="preserve">WO-4102736</t>
  </si>
  <si>
    <t xml:space="preserve">WO-4102737</t>
  </si>
  <si>
    <t xml:space="preserve">WO-4102738</t>
  </si>
  <si>
    <t xml:space="preserve">WO-4102739</t>
  </si>
  <si>
    <t xml:space="preserve">WO-4102740</t>
  </si>
  <si>
    <t xml:space="preserve">WO-4102741</t>
  </si>
  <si>
    <t xml:space="preserve">WO-4102742</t>
  </si>
  <si>
    <t xml:space="preserve">WO-4102743</t>
  </si>
  <si>
    <t xml:space="preserve">WO-4102744</t>
  </si>
  <si>
    <t xml:space="preserve">WO-4102745</t>
  </si>
  <si>
    <t xml:space="preserve">WO-4102746</t>
  </si>
  <si>
    <t xml:space="preserve">WO-4102747</t>
  </si>
  <si>
    <t xml:space="preserve">WO-4102748</t>
  </si>
  <si>
    <t xml:space="preserve">WO-4102749</t>
  </si>
  <si>
    <t xml:space="preserve">WO-4102750</t>
  </si>
  <si>
    <t xml:space="preserve">WO-4102751</t>
  </si>
  <si>
    <t xml:space="preserve">WO-4102752</t>
  </si>
  <si>
    <t xml:space="preserve">WO-4102753</t>
  </si>
  <si>
    <t xml:space="preserve">WO-4102754</t>
  </si>
  <si>
    <t xml:space="preserve">WO-4102755</t>
  </si>
  <si>
    <t xml:space="preserve">WO-4102756</t>
  </si>
  <si>
    <t xml:space="preserve">WO-4102757</t>
  </si>
  <si>
    <t xml:space="preserve">WO-4102758</t>
  </si>
  <si>
    <t xml:space="preserve">WO-4102759</t>
  </si>
  <si>
    <t xml:space="preserve">WO-4102760</t>
  </si>
  <si>
    <t xml:space="preserve">WO-4102761</t>
  </si>
  <si>
    <t xml:space="preserve">WO-4102762</t>
  </si>
  <si>
    <t xml:space="preserve">WO-4102763</t>
  </si>
  <si>
    <t xml:space="preserve">WO-4102764</t>
  </si>
  <si>
    <t xml:space="preserve">WO-4102765</t>
  </si>
  <si>
    <t xml:space="preserve">WO-4102766</t>
  </si>
  <si>
    <t xml:space="preserve">WO-4102767</t>
  </si>
  <si>
    <t xml:space="preserve">WO-4102768</t>
  </si>
  <si>
    <t xml:space="preserve">WO-4102769</t>
  </si>
  <si>
    <t xml:space="preserve">WO-4102770</t>
  </si>
  <si>
    <t xml:space="preserve">Week_09.xlsx</t>
  </si>
  <si>
    <t xml:space="preserve">WO-4102771</t>
  </si>
  <si>
    <t xml:space="preserve">WO-4102772</t>
  </si>
  <si>
    <t xml:space="preserve">WO-4102773</t>
  </si>
  <si>
    <t xml:space="preserve">WO-4102774</t>
  </si>
  <si>
    <t xml:space="preserve">WO-4102775</t>
  </si>
  <si>
    <t xml:space="preserve">WO-4102776</t>
  </si>
  <si>
    <t xml:space="preserve">WO-4102777</t>
  </si>
  <si>
    <t xml:space="preserve">WO-4102778</t>
  </si>
  <si>
    <t xml:space="preserve">WO-4102779</t>
  </si>
  <si>
    <t xml:space="preserve">WO-4102780</t>
  </si>
  <si>
    <t xml:space="preserve">WO-4102781</t>
  </si>
  <si>
    <t xml:space="preserve">WO-4102782</t>
  </si>
  <si>
    <t xml:space="preserve">WO-4102783</t>
  </si>
  <si>
    <t xml:space="preserve">WO-4102784</t>
  </si>
  <si>
    <t xml:space="preserve">WO-4102785</t>
  </si>
  <si>
    <t xml:space="preserve">WO-4102786</t>
  </si>
  <si>
    <t xml:space="preserve">WO-4102787</t>
  </si>
  <si>
    <t xml:space="preserve">WO-4102788</t>
  </si>
  <si>
    <t xml:space="preserve">WO-4102789</t>
  </si>
  <si>
    <t xml:space="preserve">WO-4102790</t>
  </si>
  <si>
    <t xml:space="preserve">WO-4102791</t>
  </si>
  <si>
    <t xml:space="preserve">WO-4102792</t>
  </si>
  <si>
    <t xml:space="preserve">WO-4102793</t>
  </si>
  <si>
    <t xml:space="preserve">WO-4102794</t>
  </si>
  <si>
    <t xml:space="preserve">WO-4102795</t>
  </si>
  <si>
    <t xml:space="preserve">WO-4102796</t>
  </si>
  <si>
    <t xml:space="preserve">WO-4102797</t>
  </si>
  <si>
    <t xml:space="preserve">WO-4102798</t>
  </si>
  <si>
    <t xml:space="preserve">WO-4102799</t>
  </si>
  <si>
    <t xml:space="preserve">WO-4102800</t>
  </si>
  <si>
    <t xml:space="preserve">WO-4102801</t>
  </si>
  <si>
    <t xml:space="preserve">WO-4102802</t>
  </si>
  <si>
    <t xml:space="preserve">WO-4102803</t>
  </si>
  <si>
    <t xml:space="preserve">WO-4102804</t>
  </si>
  <si>
    <t xml:space="preserve">WO-4102805</t>
  </si>
  <si>
    <t xml:space="preserve">WO-4102806</t>
  </si>
  <si>
    <t xml:space="preserve">WO-4102807</t>
  </si>
  <si>
    <t xml:space="preserve">WO-4102808</t>
  </si>
  <si>
    <t xml:space="preserve">WO-4102809</t>
  </si>
  <si>
    <t xml:space="preserve">WO-4102810</t>
  </si>
  <si>
    <t xml:space="preserve">WO-4102811</t>
  </si>
  <si>
    <t xml:space="preserve">WO-4102812</t>
  </si>
  <si>
    <t xml:space="preserve">WO-4102813</t>
  </si>
  <si>
    <t xml:space="preserve">WO-4102814</t>
  </si>
  <si>
    <t xml:space="preserve">WO-4102815</t>
  </si>
  <si>
    <t xml:space="preserve">WO-4102816</t>
  </si>
  <si>
    <t xml:space="preserve">WO-4102817</t>
  </si>
  <si>
    <t xml:space="preserve">WO-4102818</t>
  </si>
  <si>
    <t xml:space="preserve">WO-4102819</t>
  </si>
  <si>
    <t xml:space="preserve">WO-4102820</t>
  </si>
  <si>
    <t xml:space="preserve">WO-4102821</t>
  </si>
  <si>
    <t xml:space="preserve">WO-4102822</t>
  </si>
  <si>
    <t xml:space="preserve">WO-4102823</t>
  </si>
  <si>
    <t xml:space="preserve">WO-4102824</t>
  </si>
  <si>
    <t xml:space="preserve">WO-4102825</t>
  </si>
  <si>
    <t xml:space="preserve">WO-4102826</t>
  </si>
  <si>
    <t xml:space="preserve">WO-4102827</t>
  </si>
  <si>
    <t xml:space="preserve">WO-4102828</t>
  </si>
  <si>
    <t xml:space="preserve">WO-4102829</t>
  </si>
  <si>
    <t xml:space="preserve">WO-4102830</t>
  </si>
  <si>
    <t xml:space="preserve">WO-4102831</t>
  </si>
  <si>
    <t xml:space="preserve">WO-4102832</t>
  </si>
  <si>
    <t xml:space="preserve">WO-4102833</t>
  </si>
  <si>
    <t xml:space="preserve">WO-4102834</t>
  </si>
  <si>
    <t xml:space="preserve">WO-4102835</t>
  </si>
  <si>
    <t xml:space="preserve">WO-4102836</t>
  </si>
  <si>
    <t xml:space="preserve">WO-4102837</t>
  </si>
  <si>
    <t xml:space="preserve">WO-4102838</t>
  </si>
  <si>
    <t xml:space="preserve">WO-4102839</t>
  </si>
  <si>
    <t xml:space="preserve">WO-4102840</t>
  </si>
  <si>
    <t xml:space="preserve">WO-4102841</t>
  </si>
  <si>
    <t xml:space="preserve">WO-4102842</t>
  </si>
  <si>
    <t xml:space="preserve">WO-4102843</t>
  </si>
  <si>
    <t xml:space="preserve">WO-4102844</t>
  </si>
  <si>
    <t xml:space="preserve">WO-4102845</t>
  </si>
  <si>
    <t xml:space="preserve">WO-4102846</t>
  </si>
  <si>
    <t xml:space="preserve">WO-4102847</t>
  </si>
  <si>
    <t xml:space="preserve">WO-4102848</t>
  </si>
  <si>
    <t xml:space="preserve">WO-4102849</t>
  </si>
  <si>
    <t xml:space="preserve">WO-4102850</t>
  </si>
  <si>
    <t xml:space="preserve">WO-4102851</t>
  </si>
  <si>
    <t xml:space="preserve">WO-4102852</t>
  </si>
  <si>
    <t xml:space="preserve">WO-4102853</t>
  </si>
  <si>
    <t xml:space="preserve">WO-4102854</t>
  </si>
  <si>
    <t xml:space="preserve">WO-4102855</t>
  </si>
  <si>
    <t xml:space="preserve">WO-4102856</t>
  </si>
  <si>
    <t xml:space="preserve">WO-4102857</t>
  </si>
  <si>
    <t xml:space="preserve">WO-4102858</t>
  </si>
  <si>
    <t xml:space="preserve">WO-4102859</t>
  </si>
  <si>
    <t xml:space="preserve">WO-4102860</t>
  </si>
  <si>
    <t xml:space="preserve">WO-4102861</t>
  </si>
  <si>
    <t xml:space="preserve">WO-4102862</t>
  </si>
  <si>
    <t xml:space="preserve">WO-4102863</t>
  </si>
  <si>
    <t xml:space="preserve">WO-4102864</t>
  </si>
  <si>
    <t xml:space="preserve">Week_10.xlsx</t>
  </si>
  <si>
    <t xml:space="preserve">WO-4102865</t>
  </si>
  <si>
    <t xml:space="preserve">WO-4102866</t>
  </si>
  <si>
    <t xml:space="preserve">WO-4102867</t>
  </si>
  <si>
    <t xml:space="preserve">WO-4102868</t>
  </si>
  <si>
    <t xml:space="preserve">WO-4102869</t>
  </si>
  <si>
    <t xml:space="preserve">WO-4102870</t>
  </si>
  <si>
    <t xml:space="preserve">WO-4102871</t>
  </si>
  <si>
    <t xml:space="preserve">WO-4102872</t>
  </si>
  <si>
    <t xml:space="preserve">WO-4102873</t>
  </si>
  <si>
    <t xml:space="preserve">WO-4102874</t>
  </si>
  <si>
    <t xml:space="preserve">WO-4102875</t>
  </si>
  <si>
    <t xml:space="preserve">WO-4102876</t>
  </si>
  <si>
    <t xml:space="preserve">WO-4102877</t>
  </si>
  <si>
    <t xml:space="preserve">WO-4102878</t>
  </si>
  <si>
    <t xml:space="preserve">WO-4102879</t>
  </si>
  <si>
    <t xml:space="preserve">WO-4102880</t>
  </si>
  <si>
    <t xml:space="preserve">WO-4102881</t>
  </si>
  <si>
    <t xml:space="preserve">WO-4102882</t>
  </si>
  <si>
    <t xml:space="preserve">WO-4102883</t>
  </si>
  <si>
    <t xml:space="preserve">WO-4102884</t>
  </si>
  <si>
    <t xml:space="preserve">WO-4102885</t>
  </si>
  <si>
    <t xml:space="preserve">WO-4102886</t>
  </si>
  <si>
    <t xml:space="preserve">WO-4102887</t>
  </si>
  <si>
    <t xml:space="preserve">WO-4102888</t>
  </si>
  <si>
    <t xml:space="preserve">WO-4102889</t>
  </si>
  <si>
    <t xml:space="preserve">WO-4102890</t>
  </si>
  <si>
    <t xml:space="preserve">WO-4102891</t>
  </si>
  <si>
    <t xml:space="preserve">WO-4102892</t>
  </si>
  <si>
    <t xml:space="preserve">WO-4102893</t>
  </si>
  <si>
    <t xml:space="preserve">WO-4102894</t>
  </si>
  <si>
    <t xml:space="preserve">WO-4102895</t>
  </si>
  <si>
    <t xml:space="preserve">WO-4102896</t>
  </si>
  <si>
    <t xml:space="preserve">WO-4102897</t>
  </si>
  <si>
    <t xml:space="preserve">WO-4102898</t>
  </si>
  <si>
    <t xml:space="preserve">WO-4102899</t>
  </si>
  <si>
    <t xml:space="preserve">WO-4102900</t>
  </si>
  <si>
    <t xml:space="preserve">WO-4102901</t>
  </si>
  <si>
    <t xml:space="preserve">WO-4102902</t>
  </si>
  <si>
    <t xml:space="preserve">WO-4102903</t>
  </si>
  <si>
    <t xml:space="preserve">WO-4102904</t>
  </si>
  <si>
    <t xml:space="preserve">WO-4102905</t>
  </si>
  <si>
    <t xml:space="preserve">WO-4102906</t>
  </si>
  <si>
    <t xml:space="preserve">WO-4102907</t>
  </si>
  <si>
    <t xml:space="preserve">WO-4102908</t>
  </si>
  <si>
    <t xml:space="preserve">WO-4102909</t>
  </si>
  <si>
    <t xml:space="preserve">WO-4102910</t>
  </si>
  <si>
    <t xml:space="preserve">WO-4102911</t>
  </si>
  <si>
    <t xml:space="preserve">WO-4102912</t>
  </si>
  <si>
    <t xml:space="preserve">WO-4102913</t>
  </si>
  <si>
    <t xml:space="preserve">WO-4102914</t>
  </si>
  <si>
    <t xml:space="preserve">WO-4102915</t>
  </si>
  <si>
    <t xml:space="preserve">WO-4102916</t>
  </si>
  <si>
    <t xml:space="preserve">WO-4102917</t>
  </si>
  <si>
    <t xml:space="preserve">WO-4102918</t>
  </si>
  <si>
    <t xml:space="preserve">WO-4102919</t>
  </si>
  <si>
    <t xml:space="preserve">WO-4102920</t>
  </si>
  <si>
    <t xml:space="preserve">WO-4102921</t>
  </si>
  <si>
    <t xml:space="preserve">WO-4102922</t>
  </si>
  <si>
    <t xml:space="preserve">WO-4102923</t>
  </si>
  <si>
    <t xml:space="preserve">WO-4102924</t>
  </si>
  <si>
    <t xml:space="preserve">WO-4102925</t>
  </si>
  <si>
    <t xml:space="preserve">WO-4102926</t>
  </si>
  <si>
    <t xml:space="preserve">WO-4102927</t>
  </si>
  <si>
    <t xml:space="preserve">WO-4102928</t>
  </si>
  <si>
    <t xml:space="preserve">WO-4102929</t>
  </si>
  <si>
    <t xml:space="preserve">WO-4102930</t>
  </si>
  <si>
    <t xml:space="preserve">WO-4102931</t>
  </si>
  <si>
    <t xml:space="preserve">WO-4102932</t>
  </si>
  <si>
    <t xml:space="preserve">WO-4102933</t>
  </si>
  <si>
    <t xml:space="preserve">WO-4102934</t>
  </si>
  <si>
    <t xml:space="preserve">WO-4102935</t>
  </si>
  <si>
    <t xml:space="preserve">WO-4102936</t>
  </si>
  <si>
    <t xml:space="preserve">WO-4102937</t>
  </si>
  <si>
    <t xml:space="preserve">WO-4102938</t>
  </si>
  <si>
    <t xml:space="preserve">WO-4102939</t>
  </si>
  <si>
    <t xml:space="preserve">WO-4102940</t>
  </si>
  <si>
    <t xml:space="preserve">WO-4102941</t>
  </si>
  <si>
    <t xml:space="preserve">WO-4102942</t>
  </si>
  <si>
    <t xml:space="preserve">WO-4102943</t>
  </si>
  <si>
    <t xml:space="preserve">WO-4102944</t>
  </si>
  <si>
    <t xml:space="preserve">WO-4102945</t>
  </si>
  <si>
    <t xml:space="preserve">WO-4102946</t>
  </si>
  <si>
    <t xml:space="preserve">WO-4102947</t>
  </si>
  <si>
    <t xml:space="preserve">WO-4102948</t>
  </si>
  <si>
    <t xml:space="preserve">WO-4102949</t>
  </si>
  <si>
    <t xml:space="preserve">WO-4102950</t>
  </si>
  <si>
    <t xml:space="preserve">WO-4102951</t>
  </si>
  <si>
    <t xml:space="preserve">WO-4102952</t>
  </si>
  <si>
    <t xml:space="preserve">WO-4102953</t>
  </si>
  <si>
    <t xml:space="preserve">WO-4102954</t>
  </si>
  <si>
    <t xml:space="preserve">Week_11.xlsx</t>
  </si>
  <si>
    <t xml:space="preserve">WO-4102955</t>
  </si>
  <si>
    <t xml:space="preserve">WO-4102956</t>
  </si>
  <si>
    <t xml:space="preserve">WO-4102957</t>
  </si>
  <si>
    <t xml:space="preserve">WO-4102958</t>
  </si>
  <si>
    <t xml:space="preserve">WO-4102959</t>
  </si>
  <si>
    <t xml:space="preserve">WO-4102960</t>
  </si>
  <si>
    <t xml:space="preserve">WO-4102961</t>
  </si>
  <si>
    <t xml:space="preserve">WO-4102962</t>
  </si>
  <si>
    <t xml:space="preserve">WO-4102963</t>
  </si>
  <si>
    <t xml:space="preserve">WO-4102964</t>
  </si>
  <si>
    <t xml:space="preserve">WO-4102965</t>
  </si>
  <si>
    <t xml:space="preserve">WO-4102966</t>
  </si>
  <si>
    <t xml:space="preserve">WO-4102967</t>
  </si>
  <si>
    <t xml:space="preserve">WO-4102968</t>
  </si>
  <si>
    <t xml:space="preserve">WO-4102969</t>
  </si>
  <si>
    <t xml:space="preserve">WO-4102970</t>
  </si>
  <si>
    <t xml:space="preserve">WO-4102971</t>
  </si>
  <si>
    <t xml:space="preserve">WO-4102972</t>
  </si>
  <si>
    <t xml:space="preserve">WO-4102973</t>
  </si>
  <si>
    <t xml:space="preserve">WO-4102974</t>
  </si>
  <si>
    <t xml:space="preserve">WO-4102975</t>
  </si>
  <si>
    <t xml:space="preserve">WO-4102976</t>
  </si>
  <si>
    <t xml:space="preserve">WO-4102977</t>
  </si>
  <si>
    <t xml:space="preserve">WO-4102978</t>
  </si>
  <si>
    <t xml:space="preserve">WO-4102979</t>
  </si>
  <si>
    <t xml:space="preserve">WO-4102980</t>
  </si>
  <si>
    <t xml:space="preserve">WO-4102981</t>
  </si>
  <si>
    <t xml:space="preserve">WO-4102982</t>
  </si>
  <si>
    <t xml:space="preserve">WO-4102983</t>
  </si>
  <si>
    <t xml:space="preserve">WO-4102984</t>
  </si>
  <si>
    <t xml:space="preserve">WO-4102985</t>
  </si>
  <si>
    <t xml:space="preserve">WO-4102986</t>
  </si>
  <si>
    <t xml:space="preserve">WO-4102987</t>
  </si>
  <si>
    <t xml:space="preserve">WO-4102988</t>
  </si>
  <si>
    <t xml:space="preserve">WO-4102989</t>
  </si>
  <si>
    <t xml:space="preserve">WO-4102990</t>
  </si>
  <si>
    <t xml:space="preserve">WO-4102991</t>
  </si>
  <si>
    <t xml:space="preserve">WO-4102992</t>
  </si>
  <si>
    <t xml:space="preserve">WO-4102993</t>
  </si>
  <si>
    <t xml:space="preserve">WO-4102994</t>
  </si>
  <si>
    <t xml:space="preserve">WO-4102995</t>
  </si>
  <si>
    <t xml:space="preserve">WO-4102996</t>
  </si>
  <si>
    <t xml:space="preserve">WO-4102997</t>
  </si>
  <si>
    <t xml:space="preserve">WO-4102998</t>
  </si>
  <si>
    <t xml:space="preserve">WO-4102999</t>
  </si>
  <si>
    <t xml:space="preserve">WO-4103000</t>
  </si>
  <si>
    <t xml:space="preserve">WO-4103001</t>
  </si>
  <si>
    <t xml:space="preserve">WO-4103002</t>
  </si>
  <si>
    <t xml:space="preserve">WO-4103003</t>
  </si>
  <si>
    <t xml:space="preserve">WO-4103004</t>
  </si>
  <si>
    <t xml:space="preserve">WO-4103005</t>
  </si>
  <si>
    <t xml:space="preserve">WO-4103006</t>
  </si>
  <si>
    <t xml:space="preserve">WO-4103007</t>
  </si>
  <si>
    <t xml:space="preserve">WO-4103008</t>
  </si>
  <si>
    <t xml:space="preserve">WO-4103009</t>
  </si>
  <si>
    <t xml:space="preserve">WO-4103010</t>
  </si>
  <si>
    <t xml:space="preserve">WO-4103011</t>
  </si>
  <si>
    <t xml:space="preserve">WO-4103012</t>
  </si>
  <si>
    <t xml:space="preserve">WO-4103013</t>
  </si>
  <si>
    <t xml:space="preserve">WO-4103014</t>
  </si>
  <si>
    <t xml:space="preserve">WO-4103015</t>
  </si>
  <si>
    <t xml:space="preserve">WO-4103016</t>
  </si>
  <si>
    <t xml:space="preserve">WO-4103017</t>
  </si>
  <si>
    <t xml:space="preserve">WO-4103018</t>
  </si>
  <si>
    <t xml:space="preserve">WO-4103019</t>
  </si>
  <si>
    <t xml:space="preserve">WO-4103020</t>
  </si>
  <si>
    <t xml:space="preserve">WO-4103021</t>
  </si>
  <si>
    <t xml:space="preserve">WO-4103022</t>
  </si>
  <si>
    <t xml:space="preserve">WO-4103023</t>
  </si>
  <si>
    <t xml:space="preserve">WO-4103024</t>
  </si>
  <si>
    <t xml:space="preserve">WO-4103025</t>
  </si>
  <si>
    <t xml:space="preserve">WO-4103026</t>
  </si>
  <si>
    <t xml:space="preserve">WO-4103027</t>
  </si>
  <si>
    <t xml:space="preserve">WO-4103028</t>
  </si>
  <si>
    <t xml:space="preserve">WO-4103029</t>
  </si>
  <si>
    <t xml:space="preserve">WO-4103030</t>
  </si>
  <si>
    <t xml:space="preserve">WO-4103031</t>
  </si>
  <si>
    <t xml:space="preserve">WO-4103032</t>
  </si>
  <si>
    <t xml:space="preserve">WO-4103033</t>
  </si>
  <si>
    <t xml:space="preserve">WO-4103034</t>
  </si>
  <si>
    <t xml:space="preserve">WO-4103035</t>
  </si>
  <si>
    <t xml:space="preserve">WO-4103036</t>
  </si>
  <si>
    <t xml:space="preserve">WO-4103037</t>
  </si>
  <si>
    <t xml:space="preserve">WO-4103038</t>
  </si>
  <si>
    <t xml:space="preserve">WO-4103039</t>
  </si>
  <si>
    <t xml:space="preserve">WO-4103040</t>
  </si>
  <si>
    <t xml:space="preserve">WO-4103041</t>
  </si>
  <si>
    <t xml:space="preserve">WO-4103042</t>
  </si>
  <si>
    <t xml:space="preserve">WO-4103043</t>
  </si>
  <si>
    <t xml:space="preserve">WO-4103044</t>
  </si>
  <si>
    <t xml:space="preserve">WO-4103045</t>
  </si>
  <si>
    <t xml:space="preserve">WO-4103046</t>
  </si>
  <si>
    <t xml:space="preserve">WO-4103047</t>
  </si>
  <si>
    <t xml:space="preserve">WO-4103048</t>
  </si>
  <si>
    <t xml:space="preserve">WO-4103049</t>
  </si>
  <si>
    <t xml:space="preserve">WO-4103050</t>
  </si>
  <si>
    <t xml:space="preserve">WO-4103051</t>
  </si>
  <si>
    <t xml:space="preserve">Week_12.xlsx</t>
  </si>
  <si>
    <t xml:space="preserve">WO-4103052</t>
  </si>
  <si>
    <t xml:space="preserve">WO-4103053</t>
  </si>
  <si>
    <t xml:space="preserve">WO-4103054</t>
  </si>
  <si>
    <t xml:space="preserve">WO-4103055</t>
  </si>
  <si>
    <t xml:space="preserve">WO-4103056</t>
  </si>
  <si>
    <t xml:space="preserve">WO-4103057</t>
  </si>
  <si>
    <t xml:space="preserve">WO-4103058</t>
  </si>
  <si>
    <t xml:space="preserve">WO-4103059</t>
  </si>
  <si>
    <t xml:space="preserve">WO-4103060</t>
  </si>
  <si>
    <t xml:space="preserve">WO-4103061</t>
  </si>
  <si>
    <t xml:space="preserve">WO-4103062</t>
  </si>
  <si>
    <t xml:space="preserve">WO-4103063</t>
  </si>
  <si>
    <t xml:space="preserve">WO-4103064</t>
  </si>
  <si>
    <t xml:space="preserve">WO-4103065</t>
  </si>
  <si>
    <t xml:space="preserve">WO-4103066</t>
  </si>
  <si>
    <t xml:space="preserve">WO-4103067</t>
  </si>
  <si>
    <t xml:space="preserve">WO-4103068</t>
  </si>
  <si>
    <t xml:space="preserve">WO-4103069</t>
  </si>
  <si>
    <t xml:space="preserve">WO-4103070</t>
  </si>
  <si>
    <t xml:space="preserve">WO-4103071</t>
  </si>
  <si>
    <t xml:space="preserve">WO-4103072</t>
  </si>
  <si>
    <t xml:space="preserve">WO-4103073</t>
  </si>
  <si>
    <t xml:space="preserve">WO-4103074</t>
  </si>
  <si>
    <t xml:space="preserve">WO-4103075</t>
  </si>
  <si>
    <t xml:space="preserve">WO-4103076</t>
  </si>
  <si>
    <t xml:space="preserve">WO-4103077</t>
  </si>
  <si>
    <t xml:space="preserve">WO-4103078</t>
  </si>
  <si>
    <t xml:space="preserve">WO-4103079</t>
  </si>
  <si>
    <t xml:space="preserve">WO-4103080</t>
  </si>
  <si>
    <t xml:space="preserve">WO-4103081</t>
  </si>
  <si>
    <t xml:space="preserve">WO-4103082</t>
  </si>
  <si>
    <t xml:space="preserve">WO-4103083</t>
  </si>
  <si>
    <t xml:space="preserve">WO-4103084</t>
  </si>
  <si>
    <t xml:space="preserve">WO-4103085</t>
  </si>
  <si>
    <t xml:space="preserve">WO-4103086</t>
  </si>
  <si>
    <t xml:space="preserve">WO-4103087</t>
  </si>
  <si>
    <t xml:space="preserve">WO-4103088</t>
  </si>
  <si>
    <t xml:space="preserve">WO-4103089</t>
  </si>
  <si>
    <t xml:space="preserve">WO-4103090</t>
  </si>
  <si>
    <t xml:space="preserve">WO-4103091</t>
  </si>
  <si>
    <t xml:space="preserve">WO-4103092</t>
  </si>
  <si>
    <t xml:space="preserve">WO-4103093</t>
  </si>
  <si>
    <t xml:space="preserve">WO-4103094</t>
  </si>
  <si>
    <t xml:space="preserve">WO-4103095</t>
  </si>
  <si>
    <t xml:space="preserve">WO-4103096</t>
  </si>
  <si>
    <t xml:space="preserve">WO-4103097</t>
  </si>
  <si>
    <t xml:space="preserve">WO-4103098</t>
  </si>
  <si>
    <t xml:space="preserve">WO-4103099</t>
  </si>
  <si>
    <t xml:space="preserve">WO-4103100</t>
  </si>
  <si>
    <t xml:space="preserve">WO-4103101</t>
  </si>
  <si>
    <t xml:space="preserve">WO-4103102</t>
  </si>
  <si>
    <t xml:space="preserve">WO-4103103</t>
  </si>
  <si>
    <t xml:space="preserve">WO-4103104</t>
  </si>
  <si>
    <t xml:space="preserve">WO-4103105</t>
  </si>
  <si>
    <t xml:space="preserve">WO-4103106</t>
  </si>
  <si>
    <t xml:space="preserve">WO-4103107</t>
  </si>
  <si>
    <t xml:space="preserve">WO-4103108</t>
  </si>
  <si>
    <t xml:space="preserve">WO-4103109</t>
  </si>
  <si>
    <t xml:space="preserve">WO-4103110</t>
  </si>
  <si>
    <t xml:space="preserve">WO-4103111</t>
  </si>
  <si>
    <t xml:space="preserve">WO-4103112</t>
  </si>
  <si>
    <t xml:space="preserve">WO-4103113</t>
  </si>
  <si>
    <t xml:space="preserve">WO-4103114</t>
  </si>
  <si>
    <t xml:space="preserve">WO-4103115</t>
  </si>
  <si>
    <t xml:space="preserve">WO-4103116</t>
  </si>
  <si>
    <t xml:space="preserve">WO-4103117</t>
  </si>
  <si>
    <t xml:space="preserve">WO-4103118</t>
  </si>
  <si>
    <t xml:space="preserve">WO-4103119</t>
  </si>
  <si>
    <t xml:space="preserve">WO-4103120</t>
  </si>
  <si>
    <t xml:space="preserve">WO-4103121</t>
  </si>
  <si>
    <t xml:space="preserve">WO-4103122</t>
  </si>
  <si>
    <t xml:space="preserve">WO-4103123</t>
  </si>
  <si>
    <t xml:space="preserve">WO-4103124</t>
  </si>
  <si>
    <t xml:space="preserve">WO-4103125</t>
  </si>
  <si>
    <t xml:space="preserve">WO-4103126</t>
  </si>
  <si>
    <t xml:space="preserve">WO-4103127</t>
  </si>
  <si>
    <t xml:space="preserve">WO-4103128</t>
  </si>
  <si>
    <t xml:space="preserve">WO-4103129</t>
  </si>
  <si>
    <t xml:space="preserve">WO-4103130</t>
  </si>
  <si>
    <t xml:space="preserve">WO-4103131</t>
  </si>
  <si>
    <t xml:space="preserve">WO-4103132</t>
  </si>
  <si>
    <t xml:space="preserve">WO-4103133</t>
  </si>
  <si>
    <t xml:space="preserve">WO-4103134</t>
  </si>
  <si>
    <t xml:space="preserve">WO-4103135</t>
  </si>
  <si>
    <t xml:space="preserve">WO-4103136</t>
  </si>
  <si>
    <t xml:space="preserve">WO-4103137</t>
  </si>
  <si>
    <t xml:space="preserve">WO-4103138</t>
  </si>
  <si>
    <t xml:space="preserve">WO-4103139</t>
  </si>
  <si>
    <t xml:space="preserve">WO-4103140</t>
  </si>
  <si>
    <t xml:space="preserve">WO-4103141</t>
  </si>
  <si>
    <t xml:space="preserve">WO-4103142</t>
  </si>
  <si>
    <t xml:space="preserve">WO-4103143</t>
  </si>
  <si>
    <t xml:space="preserve">WO-4103144</t>
  </si>
  <si>
    <t xml:space="preserve">WO-4103145</t>
  </si>
  <si>
    <t xml:space="preserve">WO-4103146</t>
  </si>
  <si>
    <t xml:space="preserve">WO-4103147</t>
  </si>
  <si>
    <t xml:space="preserve">WO-4103148</t>
  </si>
  <si>
    <t xml:space="preserve">WO-4103149</t>
  </si>
  <si>
    <t xml:space="preserve">WO-4103150</t>
  </si>
  <si>
    <t xml:space="preserve">WO-4103151</t>
  </si>
  <si>
    <t xml:space="preserve">WO-4103152</t>
  </si>
  <si>
    <t xml:space="preserve">WO-4103153</t>
  </si>
  <si>
    <t xml:space="preserve">WO-4103154</t>
  </si>
  <si>
    <t xml:space="preserve">WO-4103155</t>
  </si>
  <si>
    <t xml:space="preserve">WO-4103156</t>
  </si>
  <si>
    <t xml:space="preserve">Week_13.xlsx</t>
  </si>
  <si>
    <t xml:space="preserve">WO-4103157</t>
  </si>
  <si>
    <t xml:space="preserve">WO-4103158</t>
  </si>
  <si>
    <t xml:space="preserve">WO-4103159</t>
  </si>
  <si>
    <t xml:space="preserve">WO-4103160</t>
  </si>
  <si>
    <t xml:space="preserve">WO-4103161</t>
  </si>
  <si>
    <t xml:space="preserve">WO-4103162</t>
  </si>
  <si>
    <t xml:space="preserve">WO-4103163</t>
  </si>
  <si>
    <t xml:space="preserve">WO-4103164</t>
  </si>
  <si>
    <t xml:space="preserve">WO-4103165</t>
  </si>
  <si>
    <t xml:space="preserve">WO-4103166</t>
  </si>
  <si>
    <t xml:space="preserve">WO-4103167</t>
  </si>
  <si>
    <t xml:space="preserve">WO-4103168</t>
  </si>
  <si>
    <t xml:space="preserve">WO-4103169</t>
  </si>
  <si>
    <t xml:space="preserve">WO-4103170</t>
  </si>
  <si>
    <t xml:space="preserve">WO-4103171</t>
  </si>
  <si>
    <t xml:space="preserve">WO-4103172</t>
  </si>
  <si>
    <t xml:space="preserve">WO-4103173</t>
  </si>
  <si>
    <t xml:space="preserve">WO-4103174</t>
  </si>
  <si>
    <t xml:space="preserve">WO-4103175</t>
  </si>
  <si>
    <t xml:space="preserve">WO-4103176</t>
  </si>
  <si>
    <t xml:space="preserve">WO-4103177</t>
  </si>
  <si>
    <t xml:space="preserve">WO-4103178</t>
  </si>
  <si>
    <t xml:space="preserve">WO-4103179</t>
  </si>
  <si>
    <t xml:space="preserve">WO-4103180</t>
  </si>
  <si>
    <t xml:space="preserve">WO-4103181</t>
  </si>
  <si>
    <t xml:space="preserve">WO-4103182</t>
  </si>
  <si>
    <t xml:space="preserve">WO-4103183</t>
  </si>
  <si>
    <t xml:space="preserve">WO-4103184</t>
  </si>
  <si>
    <t xml:space="preserve">WO-4103185</t>
  </si>
  <si>
    <t xml:space="preserve">WO-4103186</t>
  </si>
  <si>
    <t xml:space="preserve">WO-4103187</t>
  </si>
  <si>
    <t xml:space="preserve">WO-4103188</t>
  </si>
  <si>
    <t xml:space="preserve">WO-4103189</t>
  </si>
  <si>
    <t xml:space="preserve">WO-4103190</t>
  </si>
  <si>
    <t xml:space="preserve">WO-4103191</t>
  </si>
  <si>
    <t xml:space="preserve">WO-4103192</t>
  </si>
  <si>
    <t xml:space="preserve">WO-4103193</t>
  </si>
  <si>
    <t xml:space="preserve">WO-4103194</t>
  </si>
  <si>
    <t xml:space="preserve">WO-4103195</t>
  </si>
  <si>
    <t xml:space="preserve">WO-4103196</t>
  </si>
  <si>
    <t xml:space="preserve">WO-4103197</t>
  </si>
  <si>
    <t xml:space="preserve">WO-4103198</t>
  </si>
  <si>
    <t xml:space="preserve">WO-4103199</t>
  </si>
  <si>
    <t xml:space="preserve">WO-4103200</t>
  </si>
  <si>
    <t xml:space="preserve">WO-4103201</t>
  </si>
  <si>
    <t xml:space="preserve">WO-4103202</t>
  </si>
  <si>
    <t xml:space="preserve">WO-4103203</t>
  </si>
  <si>
    <t xml:space="preserve">WO-4103204</t>
  </si>
  <si>
    <t xml:space="preserve">WO-4103205</t>
  </si>
  <si>
    <t xml:space="preserve">WO-4103206</t>
  </si>
  <si>
    <t xml:space="preserve">WO-4103207</t>
  </si>
  <si>
    <t xml:space="preserve">WO-4103208</t>
  </si>
  <si>
    <t xml:space="preserve">WO-4103209</t>
  </si>
  <si>
    <t xml:space="preserve">WO-4103210</t>
  </si>
  <si>
    <t xml:space="preserve">WO-4103211</t>
  </si>
  <si>
    <t xml:space="preserve">WO-4103212</t>
  </si>
  <si>
    <t xml:space="preserve">WO-4103213</t>
  </si>
  <si>
    <t xml:space="preserve">WO-4103214</t>
  </si>
  <si>
    <t xml:space="preserve">WO-4103215</t>
  </si>
  <si>
    <t xml:space="preserve">WO-4103216</t>
  </si>
  <si>
    <t xml:space="preserve">WO-4103217</t>
  </si>
  <si>
    <t xml:space="preserve">WO-4103218</t>
  </si>
  <si>
    <t xml:space="preserve">WO-4103219</t>
  </si>
  <si>
    <t xml:space="preserve">WO-4103220</t>
  </si>
  <si>
    <t xml:space="preserve">WO-4103221</t>
  </si>
  <si>
    <t xml:space="preserve">WO-4103222</t>
  </si>
  <si>
    <t xml:space="preserve">WO-4103223</t>
  </si>
  <si>
    <t xml:space="preserve">WO-4103224</t>
  </si>
  <si>
    <t xml:space="preserve">WO-4103225</t>
  </si>
  <si>
    <t xml:space="preserve">WO-4103226</t>
  </si>
  <si>
    <t xml:space="preserve">WO-4103227</t>
  </si>
  <si>
    <t xml:space="preserve">WO-4103228</t>
  </si>
  <si>
    <t xml:space="preserve">WO-4103229</t>
  </si>
  <si>
    <t xml:space="preserve">WO-4103230</t>
  </si>
  <si>
    <t xml:space="preserve">WO-4103231</t>
  </si>
  <si>
    <t xml:space="preserve">WO-4103232</t>
  </si>
  <si>
    <t xml:space="preserve">WO-4103233</t>
  </si>
  <si>
    <t xml:space="preserve">WO-4103234</t>
  </si>
  <si>
    <t xml:space="preserve">WO-4103235</t>
  </si>
  <si>
    <t xml:space="preserve">WO-4103236</t>
  </si>
  <si>
    <t xml:space="preserve">WO-4103237</t>
  </si>
  <si>
    <t xml:space="preserve">WO-4103238</t>
  </si>
  <si>
    <t xml:space="preserve">WO-4103239</t>
  </si>
  <si>
    <t xml:space="preserve">WO-4103240</t>
  </si>
  <si>
    <t xml:space="preserve">WO-4103241</t>
  </si>
  <si>
    <t xml:space="preserve">WO-4103242</t>
  </si>
  <si>
    <t xml:space="preserve">WO-4103243</t>
  </si>
  <si>
    <t xml:space="preserve">WO-4103244</t>
  </si>
  <si>
    <t xml:space="preserve">WO-4103245</t>
  </si>
  <si>
    <t xml:space="preserve">WO-4103246</t>
  </si>
  <si>
    <t xml:space="preserve">WO-4103247</t>
  </si>
  <si>
    <t xml:space="preserve">WO-4103248</t>
  </si>
  <si>
    <t xml:space="preserve">WO-4103249</t>
  </si>
  <si>
    <t xml:space="preserve">WO-4103250</t>
  </si>
  <si>
    <t xml:space="preserve">WO-4103251</t>
  </si>
  <si>
    <t xml:space="preserve">WO-4103252</t>
  </si>
  <si>
    <t xml:space="preserve">WO-4103253</t>
  </si>
  <si>
    <t xml:space="preserve">WO-4103254</t>
  </si>
  <si>
    <t xml:space="preserve">WO-4103255</t>
  </si>
  <si>
    <t xml:space="preserve">WO-4103256</t>
  </si>
  <si>
    <t xml:space="preserve">WO-4103257</t>
  </si>
  <si>
    <t xml:space="preserve">WO-4103258</t>
  </si>
  <si>
    <t xml:space="preserve">WO-4103259</t>
  </si>
  <si>
    <t xml:space="preserve">WO-4103260</t>
  </si>
  <si>
    <t xml:space="preserve">WO-4103261</t>
  </si>
  <si>
    <t xml:space="preserve">WO-4103262</t>
  </si>
  <si>
    <t xml:space="preserve">WO-4103263</t>
  </si>
  <si>
    <t xml:space="preserve">WO-4103264</t>
  </si>
  <si>
    <t xml:space="preserve">WO-4103265</t>
  </si>
  <si>
    <t xml:space="preserve">WO-4103266</t>
  </si>
  <si>
    <t xml:space="preserve">WO-4103267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</si>
</sst>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#,##0"/>
    <numFmt numFmtId="166" formatCode="[$-409]#,##0.0"/>
    <numFmt numFmtId="167" formatCode="[$-409]0.0%"/>
    <numFmt numFmtId="168" formatCode="General"/>
    <numFmt numFmtId="169" formatCode="#,##0"/>
    <numFmt numFmtId="170" formatCode="[$-409]yyyy\-mm\-dd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8"/>
      <color rgb="FF1F2937"/>
      <name val="Arial"/>
      <family val="2"/>
    </font>
    <font>
      <sz val="10"/>
      <color rgb="FF6B7280"/>
      <name val="Arial"/>
      <family val="2"/>
    </font>
    <font>
      <b val="true"/>
      <sz val="10"/>
      <color rgb="FF6B7280"/>
      <name val="Arial"/>
      <family val="2"/>
    </font>
    <font>
      <b val="true"/>
      <sz val="16"/>
      <color rgb="FF2F5FE6"/>
      <name val="Arial"/>
      <family val="2"/>
    </font>
    <font>
      <sz val="13"/>
      <name val="Arial"/>
      <family val="2"/>
    </font>
    <font>
      <b val="true"/>
      <sz val="16"/>
      <color rgb="FF1F2937"/>
      <name val="Arial"/>
      <family val="2"/>
    </font>
    <font>
      <b val="true"/>
      <sz val="10"/>
      <color rgb="FFFFFFFF"/>
      <name val="Arial"/>
      <family val="2"/>
    </font>
    <font>
      <b val="true"/>
      <sz val="14"/>
      <color rgb="FF2F5FE6"/>
      <name val="Arial"/>
      <family val="2"/>
    </font>
    <font>
      <b val="true"/>
      <sz val="1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FE6"/>
        <bgColor rgb="FF0066CC"/>
      </patternFill>
    </fill>
    <fill>
      <patternFill patternType="solid">
        <fgColor rgb="FFE8EEFD"/>
        <bgColor rgb="FFFFFFFF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3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9" fontId="4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E8EE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5FE6"/>
      <rgbColor rgb="FF33CCCC"/>
      <rgbColor rgb="FF99CC00"/>
      <rgbColor rgb="FFFFCC00"/>
      <rgbColor rgb="FFFF9900"/>
      <rgbColor rgb="FFFF6600"/>
      <rgbColor rgb="FF6B7280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Sets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Report!$B$6</c:f>
              <c:strCache>
                <c:ptCount val="1"/>
                <c:pt idx="0">
                  <c:v>Sets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Report!$A$7:$A$9</c:f>
              <c:strCache>
                <c:ptCount val="3"/>
                <c:pt idx="0">
                  <c:v>2026-07</c:v>
                </c:pt>
                <c:pt idx="1">
                  <c:v>2026-08</c:v>
                </c:pt>
                <c:pt idx="2">
                  <c:v>2026-09</c:v>
                </c:pt>
              </c:strCache>
            </c:strRef>
          </c:cat>
          <c:val>
            <c:numRef>
              <c:f>Report!$B$7:$B$9</c:f>
              <c:numCache>
                <c:formatCode>[$-409]#,##0</c:formatCode>
                <c:ptCount val="3"/>
                <c:pt idx="0">
                  <c:v>9737</c:v>
                </c:pt>
                <c:pt idx="1">
                  <c:v>9643</c:v>
                </c:pt>
                <c:pt idx="2">
                  <c:v>10004</c:v>
                </c:pt>
              </c:numCache>
            </c:numRef>
          </c:val>
        </c:ser>
        <c:gapWidth val="100"/>
        <c:overlap val="0"/>
        <c:axId val="16243203"/>
        <c:axId val="34207658"/>
      </c:barChart>
      <c:catAx>
        <c:axId val="162432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4207658"/>
        <c:crosses val="autoZero"/>
        <c:auto val="1"/>
        <c:lblAlgn val="ctr"/>
        <c:lblOffset val="100"/>
        <c:noMultiLvlLbl val="0"/>
      </c:catAx>
      <c:valAx>
        <c:axId val="3420765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624320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Sets by 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Report!$F$6</c:f>
              <c:strCache>
                <c:ptCount val="1"/>
                <c:pt idx="0">
                  <c:v>Sets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Report!$E$7:$E$12</c:f>
              <c:strCache>
                <c:ptCount val="6"/>
                <c:pt idx="0">
                  <c:v>L01</c:v>
                </c:pt>
                <c:pt idx="1">
                  <c:v>L02</c:v>
                </c:pt>
                <c:pt idx="2">
                  <c:v>L03</c:v>
                </c:pt>
                <c:pt idx="3">
                  <c:v>L04</c:v>
                </c:pt>
                <c:pt idx="4">
                  <c:v>L05</c:v>
                </c:pt>
                <c:pt idx="5">
                  <c:v>L06</c:v>
                </c:pt>
              </c:strCache>
            </c:strRef>
          </c:cat>
          <c:val>
            <c:numRef>
              <c:f>Report!$F$7:$F$12</c:f>
              <c:numCache>
                <c:formatCode>[$-409]#,##0</c:formatCode>
                <c:ptCount val="6"/>
                <c:pt idx="0">
                  <c:v>5886</c:v>
                </c:pt>
                <c:pt idx="1">
                  <c:v>5077</c:v>
                </c:pt>
                <c:pt idx="2">
                  <c:v>5567</c:v>
                </c:pt>
                <c:pt idx="3">
                  <c:v>4619</c:v>
                </c:pt>
                <c:pt idx="4">
                  <c:v>4567</c:v>
                </c:pt>
                <c:pt idx="5">
                  <c:v>3668</c:v>
                </c:pt>
              </c:numCache>
            </c:numRef>
          </c:val>
        </c:ser>
        <c:gapWidth val="100"/>
        <c:overlap val="0"/>
        <c:axId val="37609282"/>
        <c:axId val="99954589"/>
      </c:barChart>
      <c:catAx>
        <c:axId val="3760928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9954589"/>
        <c:crosses val="autoZero"/>
        <c:auto val="1"/>
        <c:lblAlgn val="ctr"/>
        <c:lblOffset val="100"/>
        <c:noMultiLvlLbl val="0"/>
      </c:catAx>
      <c:valAx>
        <c:axId val="99954589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76092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Sets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Report!$B$14</c:f>
              <c:strCache>
                <c:ptCount val="1"/>
                <c:pt idx="0">
                  <c:v>Sets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Report!$A$15:$A$24</c:f>
              <c:strCache>
                <c:ptCount val="10"/>
                <c:pt idx="0">
                  <c:v>Egypt</c:v>
                </c:pt>
                <c:pt idx="1">
                  <c:v>Iraq</c:v>
                </c:pt>
                <c:pt idx="2">
                  <c:v>Jordan</c:v>
                </c:pt>
                <c:pt idx="3">
                  <c:v>Saudi Arabia</c:v>
                </c:pt>
                <c:pt idx="4">
                  <c:v>Kenya</c:v>
                </c:pt>
                <c:pt idx="5">
                  <c:v>United Arab Emirates</c:v>
                </c:pt>
                <c:pt idx="6">
                  <c:v>Nigeria</c:v>
                </c:pt>
                <c:pt idx="7">
                  <c:v>Morocco</c:v>
                </c:pt>
                <c:pt idx="8">
                  <c:v>Libya</c:v>
                </c:pt>
                <c:pt idx="9">
                  <c:v>Kuwait</c:v>
                </c:pt>
              </c:strCache>
            </c:strRef>
          </c:cat>
          <c:val>
            <c:numRef>
              <c:f>Report!$B$15:$B$24</c:f>
              <c:numCache>
                <c:formatCode>[$-409]#,##0</c:formatCode>
                <c:ptCount val="10"/>
                <c:pt idx="0">
                  <c:v>15565</c:v>
                </c:pt>
                <c:pt idx="1">
                  <c:v>1768</c:v>
                </c:pt>
                <c:pt idx="2">
                  <c:v>1761</c:v>
                </c:pt>
                <c:pt idx="3">
                  <c:v>1739</c:v>
                </c:pt>
                <c:pt idx="4">
                  <c:v>1509</c:v>
                </c:pt>
                <c:pt idx="5">
                  <c:v>1461</c:v>
                </c:pt>
                <c:pt idx="6">
                  <c:v>1443</c:v>
                </c:pt>
                <c:pt idx="7">
                  <c:v>1442</c:v>
                </c:pt>
                <c:pt idx="8">
                  <c:v>1402</c:v>
                </c:pt>
                <c:pt idx="9">
                  <c:v>1294</c:v>
                </c:pt>
              </c:numCache>
            </c:numRef>
          </c:val>
        </c:ser>
        <c:gapWidth val="100"/>
        <c:overlap val="0"/>
        <c:axId val="51231999"/>
        <c:axId val="35093747"/>
      </c:barChart>
      <c:catAx>
        <c:axId val="512319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5093747"/>
        <c:crosses val="autoZero"/>
        <c:auto val="1"/>
        <c:lblAlgn val="ctr"/>
        <c:lblOffset val="100"/>
        <c:noMultiLvlLbl val="0"/>
      </c:catAx>
      <c:valAx>
        <c:axId val="35093747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23199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Sets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Report!$B$25</c:f>
              <c:strCache>
                <c:ptCount val="1"/>
                <c:pt idx="0">
                  <c:v>Sets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Report!$A$26:$A$37</c:f>
              <c:strCache>
                <c:ptCount val="12"/>
                <c:pt idx="0">
                  <c:v>32-inch Smart TV</c:v>
                </c:pt>
                <c:pt idx="1">
                  <c:v>32-inch HD TV</c:v>
                </c:pt>
                <c:pt idx="2">
                  <c:v>24-inch HD TV</c:v>
                </c:pt>
                <c:pt idx="3">
                  <c:v>43-inch Full HD TV</c:v>
                </c:pt>
                <c:pt idx="4">
                  <c:v>40-inch Full HD TV</c:v>
                </c:pt>
                <c:pt idx="5">
                  <c:v>43-inch Smart TV</c:v>
                </c:pt>
                <c:pt idx="6">
                  <c:v>55-inch QLED TV</c:v>
                </c:pt>
                <c:pt idx="7">
                  <c:v>55-inch 4K TV</c:v>
                </c:pt>
                <c:pt idx="8">
                  <c:v>50-inch 4K TV</c:v>
                </c:pt>
                <c:pt idx="9">
                  <c:v>65-inch QLED TV</c:v>
                </c:pt>
                <c:pt idx="10">
                  <c:v>65-inch 4K TV</c:v>
                </c:pt>
                <c:pt idx="11">
                  <c:v>75-inch 4K TV</c:v>
                </c:pt>
              </c:strCache>
            </c:strRef>
          </c:cat>
          <c:val>
            <c:numRef>
              <c:f>Report!$B$26:$B$37</c:f>
              <c:numCache>
                <c:formatCode>[$-409]#,##0</c:formatCode>
                <c:ptCount val="12"/>
                <c:pt idx="0">
                  <c:v>3975</c:v>
                </c:pt>
                <c:pt idx="1">
                  <c:v>3820</c:v>
                </c:pt>
                <c:pt idx="2">
                  <c:v>3243</c:v>
                </c:pt>
                <c:pt idx="3">
                  <c:v>2790</c:v>
                </c:pt>
                <c:pt idx="4">
                  <c:v>2678</c:v>
                </c:pt>
                <c:pt idx="5">
                  <c:v>2527</c:v>
                </c:pt>
                <c:pt idx="6">
                  <c:v>2313</c:v>
                </c:pt>
                <c:pt idx="7">
                  <c:v>2166</c:v>
                </c:pt>
                <c:pt idx="8">
                  <c:v>1881</c:v>
                </c:pt>
                <c:pt idx="9">
                  <c:v>1591</c:v>
                </c:pt>
                <c:pt idx="10">
                  <c:v>1325</c:v>
                </c:pt>
                <c:pt idx="11">
                  <c:v>1075</c:v>
                </c:pt>
              </c:numCache>
            </c:numRef>
          </c:val>
        </c:ser>
        <c:gapWidth val="100"/>
        <c:overlap val="0"/>
        <c:axId val="40005541"/>
        <c:axId val="29926538"/>
      </c:barChart>
      <c:catAx>
        <c:axId val="4000554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9926538"/>
        <c:crosses val="autoZero"/>
        <c:auto val="1"/>
        <c:lblAlgn val="ctr"/>
        <c:lblOffset val="100"/>
        <c:noMultiLvlLbl val="0"/>
      </c:catAx>
      <c:valAx>
        <c:axId val="29926538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9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00055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108000</xdr:colOff>
      <xdr:row>3</xdr:row>
      <xdr:rowOff>186840</xdr:rowOff>
    </xdr:from>
    <xdr:to>
      <xdr:col>4</xdr:col>
      <xdr:colOff>1008000</xdr:colOff>
      <xdr:row>19</xdr:row>
      <xdr:rowOff>90000</xdr:rowOff>
    </xdr:to>
    <xdr:graphicFrame>
      <xdr:nvGraphicFramePr>
        <xdr:cNvPr id="0" name=""/>
        <xdr:cNvGraphicFramePr/>
      </xdr:nvGraphicFramePr>
      <xdr:xfrm>
        <a:off x="108000" y="792000"/>
        <a:ext cx="41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1152360</xdr:colOff>
      <xdr:row>3</xdr:row>
      <xdr:rowOff>186840</xdr:rowOff>
    </xdr:from>
    <xdr:to>
      <xdr:col>9</xdr:col>
      <xdr:colOff>425880</xdr:colOff>
      <xdr:row>19</xdr:row>
      <xdr:rowOff>90000</xdr:rowOff>
    </xdr:to>
    <xdr:graphicFrame>
      <xdr:nvGraphicFramePr>
        <xdr:cNvPr id="1" name=""/>
        <xdr:cNvGraphicFramePr/>
      </xdr:nvGraphicFramePr>
      <xdr:xfrm>
        <a:off x="4392000" y="792000"/>
        <a:ext cx="41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108000</xdr:colOff>
      <xdr:row>20</xdr:row>
      <xdr:rowOff>71640</xdr:rowOff>
    </xdr:from>
    <xdr:to>
      <xdr:col>4</xdr:col>
      <xdr:colOff>1008000</xdr:colOff>
      <xdr:row>38</xdr:row>
      <xdr:rowOff>25200</xdr:rowOff>
    </xdr:to>
    <xdr:graphicFrame>
      <xdr:nvGraphicFramePr>
        <xdr:cNvPr id="2" name=""/>
        <xdr:cNvGraphicFramePr/>
      </xdr:nvGraphicFramePr>
      <xdr:xfrm>
        <a:off x="108000" y="3528000"/>
        <a:ext cx="41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1152360</xdr:colOff>
      <xdr:row>20</xdr:row>
      <xdr:rowOff>71640</xdr:rowOff>
    </xdr:from>
    <xdr:to>
      <xdr:col>9</xdr:col>
      <xdr:colOff>425880</xdr:colOff>
      <xdr:row>38</xdr:row>
      <xdr:rowOff>25200</xdr:rowOff>
    </xdr:to>
    <xdr:graphicFrame>
      <xdr:nvGraphicFramePr>
        <xdr:cNvPr id="3" name=""/>
        <xdr:cNvGraphicFramePr/>
      </xdr:nvGraphicFramePr>
      <xdr:xfrm>
        <a:off x="4392000" y="3528000"/>
        <a:ext cx="41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267" createdVersion="3">
  <cacheSource type="worksheet">
    <worksheetSource ref="A1:K1268" sheet="Data"/>
  </cacheSource>
  <cacheFields count="11">
    <cacheField name="Date" numFmtId="0">
      <sharedItems containsSemiMixedTypes="0" containsNonDate="0" containsDate="1" containsString="0" minDate="2026-07-01T00:00:00" maxDate="2026-09-30T00:00:00" count="79">
        <d v="2026-07-01T00:00:00"/>
        <d v="2026-07-02T00:00:00"/>
        <d v="2026-07-04T00:00:00"/>
        <d v="2026-07-05T00:00:00"/>
        <d v="2026-07-06T00:00:00"/>
        <d v="2026-07-07T00:00:00"/>
        <d v="2026-07-08T00:00:00"/>
        <d v="2026-07-09T00:00:00"/>
        <d v="2026-07-11T00:00:00"/>
        <d v="2026-07-12T00:00:00"/>
        <d v="2026-07-13T00:00:00"/>
        <d v="2026-07-14T00:00:00"/>
        <d v="2026-07-15T00:00:00"/>
        <d v="2026-07-16T00:00:00"/>
        <d v="2026-07-18T00:00:00"/>
        <d v="2026-07-19T00:00:00"/>
        <d v="2026-07-20T00:00:00"/>
        <d v="2026-07-21T00:00:00"/>
        <d v="2026-07-22T00:00:00"/>
        <d v="2026-07-23T00:00:00"/>
        <d v="2026-07-25T00:00:00"/>
        <d v="2026-07-26T00:00:00"/>
        <d v="2026-07-27T00:00:00"/>
        <d v="2026-07-28T00:00:00"/>
        <d v="2026-07-29T00:00:00"/>
        <d v="2026-07-30T00:00:00"/>
        <d v="2026-08-01T00:00:00"/>
        <d v="2026-08-02T00:00:00"/>
        <d v="2026-08-03T00:00:00"/>
        <d v="2026-08-04T00:00:00"/>
        <d v="2026-08-05T00:00:00"/>
        <d v="2026-08-06T00:00:00"/>
        <d v="2026-08-08T00:00:00"/>
        <d v="2026-08-09T00:00:00"/>
        <d v="2026-08-10T00:00:00"/>
        <d v="2026-08-11T00:00:00"/>
        <d v="2026-08-12T00:00:00"/>
        <d v="2026-08-13T00:00:00"/>
        <d v="2026-08-15T00:00:00"/>
        <d v="2026-08-16T00:00:00"/>
        <d v="2026-08-17T00:00:00"/>
        <d v="2026-08-18T00:00:00"/>
        <d v="2026-08-19T00:00:00"/>
        <d v="2026-08-20T00:00:00"/>
        <d v="2026-08-22T00:00:00"/>
        <d v="2026-08-23T00:00:00"/>
        <d v="2026-08-24T00:00:00"/>
        <d v="2026-08-25T00:00:00"/>
        <d v="2026-08-26T00:00:00"/>
        <d v="2026-08-27T00:00:00"/>
        <d v="2026-08-29T00:00:00"/>
        <d v="2026-08-30T00:00:00"/>
        <d v="2026-08-31T00:00:00"/>
        <d v="2026-09-01T00:00:00"/>
        <d v="2026-09-02T00:00:00"/>
        <d v="2026-09-03T00:00:00"/>
        <d v="2026-09-05T00:00:00"/>
        <d v="2026-09-06T00:00:00"/>
        <d v="2026-09-07T00:00:00"/>
        <d v="2026-09-08T00:00:00"/>
        <d v="2026-09-09T00:00:00"/>
        <d v="2026-09-10T00:00:00"/>
        <d v="2026-09-12T00:00:00"/>
        <d v="2026-09-13T00:00:00"/>
        <d v="2026-09-14T00:00:00"/>
        <d v="2026-09-15T00:00:00"/>
        <d v="2026-09-16T00:00:00"/>
        <d v="2026-09-17T00:00:00"/>
        <d v="2026-09-19T00:00:00"/>
        <d v="2026-09-20T00:00:00"/>
        <d v="2026-09-21T00:00:00"/>
        <d v="2026-09-22T00:00:00"/>
        <d v="2026-09-23T00:00:00"/>
        <d v="2026-09-24T00:00:00"/>
        <d v="2026-09-26T00:00:00"/>
        <d v="2026-09-27T00:00:00"/>
        <d v="2026-09-28T00:00:00"/>
        <d v="2026-09-29T00:00:00"/>
        <d v="2026-09-30T00:00:00"/>
      </sharedItems>
    </cacheField>
    <cacheField name="WorkOrder" numFmtId="0">
      <sharedItems count="1267">
        <s v="WO-4102001"/>
        <s v="WO-4102002"/>
        <s v="WO-4102003"/>
        <s v="WO-4102004"/>
        <s v="WO-4102005"/>
        <s v="WO-4102006"/>
        <s v="WO-4102007"/>
        <s v="WO-4102008"/>
        <s v="WO-4102009"/>
        <s v="WO-4102010"/>
        <s v="WO-4102011"/>
        <s v="WO-4102012"/>
        <s v="WO-4102013"/>
        <s v="WO-4102014"/>
        <s v="WO-4102015"/>
        <s v="WO-4102016"/>
        <s v="WO-4102017"/>
        <s v="WO-4102018"/>
        <s v="WO-4102019"/>
        <s v="WO-4102020"/>
        <s v="WO-4102021"/>
        <s v="WO-4102022"/>
        <s v="WO-4102023"/>
        <s v="WO-4102024"/>
        <s v="WO-4102025"/>
        <s v="WO-4102026"/>
        <s v="WO-4102027"/>
        <s v="WO-4102028"/>
        <s v="WO-4102029"/>
        <s v="WO-4102030"/>
        <s v="WO-4102031"/>
        <s v="WO-4102032"/>
        <s v="WO-4102033"/>
        <s v="WO-4102034"/>
        <s v="WO-4102035"/>
        <s v="WO-4102036"/>
        <s v="WO-4102037"/>
        <s v="WO-4102038"/>
        <s v="WO-4102039"/>
        <s v="WO-4102040"/>
        <s v="WO-4102041"/>
        <s v="WO-4102042"/>
        <s v="WO-4102043"/>
        <s v="WO-4102044"/>
        <s v="WO-4102045"/>
        <s v="WO-4102046"/>
        <s v="WO-4102047"/>
        <s v="WO-4102048"/>
        <s v="WO-4102049"/>
        <s v="WO-4102050"/>
        <s v="WO-4102051"/>
        <s v="WO-4102052"/>
        <s v="WO-4102053"/>
        <s v="WO-4102054"/>
        <s v="WO-4102055"/>
        <s v="WO-4102056"/>
        <s v="WO-4102057"/>
        <s v="WO-4102058"/>
        <s v="WO-4102059"/>
        <s v="WO-4102060"/>
        <s v="WO-4102061"/>
        <s v="WO-4102062"/>
        <s v="WO-4102063"/>
        <s v="WO-4102064"/>
        <s v="WO-4102065"/>
        <s v="WO-4102066"/>
        <s v="WO-4102067"/>
        <s v="WO-4102068"/>
        <s v="WO-4102069"/>
        <s v="WO-4102070"/>
        <s v="WO-4102071"/>
        <s v="WO-4102072"/>
        <s v="WO-4102073"/>
        <s v="WO-4102074"/>
        <s v="WO-4102075"/>
        <s v="WO-4102076"/>
        <s v="WO-4102077"/>
        <s v="WO-4102078"/>
        <s v="WO-4102079"/>
        <s v="WO-4102080"/>
        <s v="WO-4102081"/>
        <s v="WO-4102082"/>
        <s v="WO-4102083"/>
        <s v="WO-4102084"/>
        <s v="WO-4102085"/>
        <s v="WO-4102086"/>
        <s v="WO-4102087"/>
        <s v="WO-4102088"/>
        <s v="WO-4102089"/>
        <s v="WO-4102090"/>
        <s v="WO-4102091"/>
        <s v="WO-4102092"/>
        <s v="WO-4102093"/>
        <s v="WO-4102094"/>
        <s v="WO-4102095"/>
        <s v="WO-4102096"/>
        <s v="WO-4102097"/>
        <s v="WO-4102098"/>
        <s v="WO-4102099"/>
        <s v="WO-4102100"/>
        <s v="WO-4102101"/>
        <s v="WO-4102102"/>
        <s v="WO-4102103"/>
        <s v="WO-4102104"/>
        <s v="WO-4102105"/>
        <s v="WO-4102106"/>
        <s v="WO-4102107"/>
        <s v="WO-4102108"/>
        <s v="WO-4102109"/>
        <s v="WO-4102110"/>
        <s v="WO-4102111"/>
        <s v="WO-4102112"/>
        <s v="WO-4102113"/>
        <s v="WO-4102114"/>
        <s v="WO-4102115"/>
        <s v="WO-4102116"/>
        <s v="WO-4102117"/>
        <s v="WO-4102118"/>
        <s v="WO-4102119"/>
        <s v="WO-4102120"/>
        <s v="WO-4102121"/>
        <s v="WO-4102122"/>
        <s v="WO-4102123"/>
        <s v="WO-4102124"/>
        <s v="WO-4102125"/>
        <s v="WO-4102126"/>
        <s v="WO-4102127"/>
        <s v="WO-4102128"/>
        <s v="WO-4102129"/>
        <s v="WO-4102130"/>
        <s v="WO-4102131"/>
        <s v="WO-4102132"/>
        <s v="WO-4102133"/>
        <s v="WO-4102134"/>
        <s v="WO-4102135"/>
        <s v="WO-4102136"/>
        <s v="WO-4102137"/>
        <s v="WO-4102138"/>
        <s v="WO-4102139"/>
        <s v="WO-4102140"/>
        <s v="WO-4102141"/>
        <s v="WO-4102142"/>
        <s v="WO-4102143"/>
        <s v="WO-4102144"/>
        <s v="WO-4102145"/>
        <s v="WO-4102146"/>
        <s v="WO-4102147"/>
        <s v="WO-4102148"/>
        <s v="WO-4102149"/>
        <s v="WO-4102150"/>
        <s v="WO-4102151"/>
        <s v="WO-4102152"/>
        <s v="WO-4102153"/>
        <s v="WO-4102154"/>
        <s v="WO-4102155"/>
        <s v="WO-4102156"/>
        <s v="WO-4102157"/>
        <s v="WO-4102158"/>
        <s v="WO-4102159"/>
        <s v="WO-4102160"/>
        <s v="WO-4102161"/>
        <s v="WO-4102162"/>
        <s v="WO-4102163"/>
        <s v="WO-4102164"/>
        <s v="WO-4102165"/>
        <s v="WO-4102166"/>
        <s v="WO-4102167"/>
        <s v="WO-4102168"/>
        <s v="WO-4102169"/>
        <s v="WO-4102170"/>
        <s v="WO-4102171"/>
        <s v="WO-4102172"/>
        <s v="WO-4102173"/>
        <s v="WO-4102174"/>
        <s v="WO-4102175"/>
        <s v="WO-4102176"/>
        <s v="WO-4102177"/>
        <s v="WO-4102178"/>
        <s v="WO-4102179"/>
        <s v="WO-4102180"/>
        <s v="WO-4102181"/>
        <s v="WO-4102182"/>
        <s v="WO-4102183"/>
        <s v="WO-4102184"/>
        <s v="WO-4102185"/>
        <s v="WO-4102186"/>
        <s v="WO-4102187"/>
        <s v="WO-4102188"/>
        <s v="WO-4102189"/>
        <s v="WO-4102190"/>
        <s v="WO-4102191"/>
        <s v="WO-4102192"/>
        <s v="WO-4102193"/>
        <s v="WO-4102194"/>
        <s v="WO-4102195"/>
        <s v="WO-4102196"/>
        <s v="WO-4102197"/>
        <s v="WO-4102198"/>
        <s v="WO-4102199"/>
        <s v="WO-4102200"/>
        <s v="WO-4102201"/>
        <s v="WO-4102202"/>
        <s v="WO-4102203"/>
        <s v="WO-4102204"/>
        <s v="WO-4102205"/>
        <s v="WO-4102206"/>
        <s v="WO-4102207"/>
        <s v="WO-4102208"/>
        <s v="WO-4102209"/>
        <s v="WO-4102210"/>
        <s v="WO-4102211"/>
        <s v="WO-4102212"/>
        <s v="WO-4102213"/>
        <s v="WO-4102214"/>
        <s v="WO-4102215"/>
        <s v="WO-4102216"/>
        <s v="WO-4102217"/>
        <s v="WO-4102218"/>
        <s v="WO-4102219"/>
        <s v="WO-4102220"/>
        <s v="WO-4102221"/>
        <s v="WO-4102222"/>
        <s v="WO-4102223"/>
        <s v="WO-4102224"/>
        <s v="WO-4102225"/>
        <s v="WO-4102226"/>
        <s v="WO-4102227"/>
        <s v="WO-4102228"/>
        <s v="WO-4102229"/>
        <s v="WO-4102230"/>
        <s v="WO-4102231"/>
        <s v="WO-4102232"/>
        <s v="WO-4102233"/>
        <s v="WO-4102234"/>
        <s v="WO-4102235"/>
        <s v="WO-4102236"/>
        <s v="WO-4102237"/>
        <s v="WO-4102238"/>
        <s v="WO-4102239"/>
        <s v="WO-4102240"/>
        <s v="WO-4102241"/>
        <s v="WO-4102242"/>
        <s v="WO-4102243"/>
        <s v="WO-4102244"/>
        <s v="WO-4102245"/>
        <s v="WO-4102246"/>
        <s v="WO-4102247"/>
        <s v="WO-4102248"/>
        <s v="WO-4102249"/>
        <s v="WO-4102250"/>
        <s v="WO-4102251"/>
        <s v="WO-4102252"/>
        <s v="WO-4102253"/>
        <s v="WO-4102254"/>
        <s v="WO-4102255"/>
        <s v="WO-4102256"/>
        <s v="WO-4102257"/>
        <s v="WO-4102258"/>
        <s v="WO-4102259"/>
        <s v="WO-4102260"/>
        <s v="WO-4102261"/>
        <s v="WO-4102262"/>
        <s v="WO-4102263"/>
        <s v="WO-4102264"/>
        <s v="WO-4102265"/>
        <s v="WO-4102266"/>
        <s v="WO-4102267"/>
        <s v="WO-4102268"/>
        <s v="WO-4102269"/>
        <s v="WO-4102270"/>
        <s v="WO-4102271"/>
        <s v="WO-4102272"/>
        <s v="WO-4102273"/>
        <s v="WO-4102274"/>
        <s v="WO-4102275"/>
        <s v="WO-4102276"/>
        <s v="WO-4102277"/>
        <s v="WO-4102278"/>
        <s v="WO-4102279"/>
        <s v="WO-4102280"/>
        <s v="WO-4102281"/>
        <s v="WO-4102282"/>
        <s v="WO-4102283"/>
        <s v="WO-4102284"/>
        <s v="WO-4102285"/>
        <s v="WO-4102286"/>
        <s v="WO-4102287"/>
        <s v="WO-4102288"/>
        <s v="WO-4102289"/>
        <s v="WO-4102290"/>
        <s v="WO-4102291"/>
        <s v="WO-4102292"/>
        <s v="WO-4102293"/>
        <s v="WO-4102294"/>
        <s v="WO-4102295"/>
        <s v="WO-4102296"/>
        <s v="WO-4102297"/>
        <s v="WO-4102298"/>
        <s v="WO-4102299"/>
        <s v="WO-4102300"/>
        <s v="WO-4102301"/>
        <s v="WO-4102302"/>
        <s v="WO-4102303"/>
        <s v="WO-4102304"/>
        <s v="WO-4102305"/>
        <s v="WO-4102306"/>
        <s v="WO-4102307"/>
        <s v="WO-4102308"/>
        <s v="WO-4102309"/>
        <s v="WO-4102310"/>
        <s v="WO-4102311"/>
        <s v="WO-4102312"/>
        <s v="WO-4102313"/>
        <s v="WO-4102314"/>
        <s v="WO-4102315"/>
        <s v="WO-4102316"/>
        <s v="WO-4102317"/>
        <s v="WO-4102318"/>
        <s v="WO-4102319"/>
        <s v="WO-4102320"/>
        <s v="WO-4102321"/>
        <s v="WO-4102322"/>
        <s v="WO-4102323"/>
        <s v="WO-4102324"/>
        <s v="WO-4102325"/>
        <s v="WO-4102326"/>
        <s v="WO-4102327"/>
        <s v="WO-4102328"/>
        <s v="WO-4102329"/>
        <s v="WO-4102330"/>
        <s v="WO-4102331"/>
        <s v="WO-4102332"/>
        <s v="WO-4102333"/>
        <s v="WO-4102334"/>
        <s v="WO-4102335"/>
        <s v="WO-4102336"/>
        <s v="WO-4102337"/>
        <s v="WO-4102338"/>
        <s v="WO-4102339"/>
        <s v="WO-4102340"/>
        <s v="WO-4102341"/>
        <s v="WO-4102342"/>
        <s v="WO-4102343"/>
        <s v="WO-4102344"/>
        <s v="WO-4102345"/>
        <s v="WO-4102346"/>
        <s v="WO-4102347"/>
        <s v="WO-4102348"/>
        <s v="WO-4102349"/>
        <s v="WO-4102350"/>
        <s v="WO-4102351"/>
        <s v="WO-4102352"/>
        <s v="WO-4102353"/>
        <s v="WO-4102354"/>
        <s v="WO-4102355"/>
        <s v="WO-4102356"/>
        <s v="WO-4102357"/>
        <s v="WO-4102358"/>
        <s v="WO-4102359"/>
        <s v="WO-4102360"/>
        <s v="WO-4102361"/>
        <s v="WO-4102362"/>
        <s v="WO-4102363"/>
        <s v="WO-4102364"/>
        <s v="WO-4102365"/>
        <s v="WO-4102366"/>
        <s v="WO-4102367"/>
        <s v="WO-4102368"/>
        <s v="WO-4102369"/>
        <s v="WO-4102370"/>
        <s v="WO-4102371"/>
        <s v="WO-4102372"/>
        <s v="WO-4102373"/>
        <s v="WO-4102374"/>
        <s v="WO-4102375"/>
        <s v="WO-4102376"/>
        <s v="WO-4102377"/>
        <s v="WO-4102378"/>
        <s v="WO-4102379"/>
        <s v="WO-4102380"/>
        <s v="WO-4102381"/>
        <s v="WO-4102382"/>
        <s v="WO-4102383"/>
        <s v="WO-4102384"/>
        <s v="WO-4102385"/>
        <s v="WO-4102386"/>
        <s v="WO-4102387"/>
        <s v="WO-4102388"/>
        <s v="WO-4102389"/>
        <s v="WO-4102390"/>
        <s v="WO-4102391"/>
        <s v="WO-4102392"/>
        <s v="WO-4102393"/>
        <s v="WO-4102394"/>
        <s v="WO-4102395"/>
        <s v="WO-4102396"/>
        <s v="WO-4102397"/>
        <s v="WO-4102398"/>
        <s v="WO-4102399"/>
        <s v="WO-4102400"/>
        <s v="WO-4102401"/>
        <s v="WO-4102402"/>
        <s v="WO-4102403"/>
        <s v="WO-4102404"/>
        <s v="WO-4102405"/>
        <s v="WO-4102406"/>
        <s v="WO-4102407"/>
        <s v="WO-4102408"/>
        <s v="WO-4102409"/>
        <s v="WO-4102410"/>
        <s v="WO-4102411"/>
        <s v="WO-4102412"/>
        <s v="WO-4102413"/>
        <s v="WO-4102414"/>
        <s v="WO-4102415"/>
        <s v="WO-4102416"/>
        <s v="WO-4102417"/>
        <s v="WO-4102418"/>
        <s v="WO-4102419"/>
        <s v="WO-4102420"/>
        <s v="WO-4102421"/>
        <s v="WO-4102422"/>
        <s v="WO-4102423"/>
        <s v="WO-4102424"/>
        <s v="WO-4102425"/>
        <s v="WO-4102426"/>
        <s v="WO-4102427"/>
        <s v="WO-4102428"/>
        <s v="WO-4102429"/>
        <s v="WO-4102430"/>
        <s v="WO-4102431"/>
        <s v="WO-4102432"/>
        <s v="WO-4102433"/>
        <s v="WO-4102434"/>
        <s v="WO-4102435"/>
        <s v="WO-4102436"/>
        <s v="WO-4102437"/>
        <s v="WO-4102438"/>
        <s v="WO-4102439"/>
        <s v="WO-4102440"/>
        <s v="WO-4102441"/>
        <s v="WO-4102442"/>
        <s v="WO-4102443"/>
        <s v="WO-4102444"/>
        <s v="WO-4102445"/>
        <s v="WO-4102446"/>
        <s v="WO-4102447"/>
        <s v="WO-4102448"/>
        <s v="WO-4102449"/>
        <s v="WO-4102450"/>
        <s v="WO-4102451"/>
        <s v="WO-4102452"/>
        <s v="WO-4102453"/>
        <s v="WO-4102454"/>
        <s v="WO-4102455"/>
        <s v="WO-4102456"/>
        <s v="WO-4102457"/>
        <s v="WO-4102458"/>
        <s v="WO-4102459"/>
        <s v="WO-4102460"/>
        <s v="WO-4102461"/>
        <s v="WO-4102462"/>
        <s v="WO-4102463"/>
        <s v="WO-4102464"/>
        <s v="WO-4102465"/>
        <s v="WO-4102466"/>
        <s v="WO-4102467"/>
        <s v="WO-4102468"/>
        <s v="WO-4102469"/>
        <s v="WO-4102470"/>
        <s v="WO-4102471"/>
        <s v="WO-4102472"/>
        <s v="WO-4102473"/>
        <s v="WO-4102474"/>
        <s v="WO-4102475"/>
        <s v="WO-4102476"/>
        <s v="WO-4102477"/>
        <s v="WO-4102478"/>
        <s v="WO-4102479"/>
        <s v="WO-4102480"/>
        <s v="WO-4102481"/>
        <s v="WO-4102482"/>
        <s v="WO-4102483"/>
        <s v="WO-4102484"/>
        <s v="WO-4102485"/>
        <s v="WO-4102486"/>
        <s v="WO-4102487"/>
        <s v="WO-4102488"/>
        <s v="WO-4102489"/>
        <s v="WO-4102490"/>
        <s v="WO-4102491"/>
        <s v="WO-4102492"/>
        <s v="WO-4102493"/>
        <s v="WO-4102494"/>
        <s v="WO-4102495"/>
        <s v="WO-4102496"/>
        <s v="WO-4102497"/>
        <s v="WO-4102498"/>
        <s v="WO-4102499"/>
        <s v="WO-4102500"/>
        <s v="WO-4102501"/>
        <s v="WO-4102502"/>
        <s v="WO-4102503"/>
        <s v="WO-4102504"/>
        <s v="WO-4102505"/>
        <s v="WO-4102506"/>
        <s v="WO-4102507"/>
        <s v="WO-4102508"/>
        <s v="WO-4102509"/>
        <s v="WO-4102510"/>
        <s v="WO-4102511"/>
        <s v="WO-4102512"/>
        <s v="WO-4102513"/>
        <s v="WO-4102514"/>
        <s v="WO-4102515"/>
        <s v="WO-4102516"/>
        <s v="WO-4102517"/>
        <s v="WO-4102518"/>
        <s v="WO-4102519"/>
        <s v="WO-4102520"/>
        <s v="WO-4102521"/>
        <s v="WO-4102522"/>
        <s v="WO-4102523"/>
        <s v="WO-4102524"/>
        <s v="WO-4102525"/>
        <s v="WO-4102526"/>
        <s v="WO-4102527"/>
        <s v="WO-4102528"/>
        <s v="WO-4102529"/>
        <s v="WO-4102530"/>
        <s v="WO-4102531"/>
        <s v="WO-4102532"/>
        <s v="WO-4102533"/>
        <s v="WO-4102534"/>
        <s v="WO-4102535"/>
        <s v="WO-4102536"/>
        <s v="WO-4102537"/>
        <s v="WO-4102538"/>
        <s v="WO-4102539"/>
        <s v="WO-4102540"/>
        <s v="WO-4102541"/>
        <s v="WO-4102542"/>
        <s v="WO-4102543"/>
        <s v="WO-4102544"/>
        <s v="WO-4102545"/>
        <s v="WO-4102546"/>
        <s v="WO-4102547"/>
        <s v="WO-4102548"/>
        <s v="WO-4102549"/>
        <s v="WO-4102550"/>
        <s v="WO-4102551"/>
        <s v="WO-4102552"/>
        <s v="WO-4102553"/>
        <s v="WO-4102554"/>
        <s v="WO-4102555"/>
        <s v="WO-4102556"/>
        <s v="WO-4102557"/>
        <s v="WO-4102558"/>
        <s v="WO-4102559"/>
        <s v="WO-4102560"/>
        <s v="WO-4102561"/>
        <s v="WO-4102562"/>
        <s v="WO-4102563"/>
        <s v="WO-4102564"/>
        <s v="WO-4102565"/>
        <s v="WO-4102566"/>
        <s v="WO-4102567"/>
        <s v="WO-4102568"/>
        <s v="WO-4102569"/>
        <s v="WO-4102570"/>
        <s v="WO-4102571"/>
        <s v="WO-4102572"/>
        <s v="WO-4102573"/>
        <s v="WO-4102574"/>
        <s v="WO-4102575"/>
        <s v="WO-4102576"/>
        <s v="WO-4102577"/>
        <s v="WO-4102578"/>
        <s v="WO-4102579"/>
        <s v="WO-4102580"/>
        <s v="WO-4102581"/>
        <s v="WO-4102582"/>
        <s v="WO-4102583"/>
        <s v="WO-4102584"/>
        <s v="WO-4102585"/>
        <s v="WO-4102586"/>
        <s v="WO-4102587"/>
        <s v="WO-4102588"/>
        <s v="WO-4102589"/>
        <s v="WO-4102590"/>
        <s v="WO-4102591"/>
        <s v="WO-4102592"/>
        <s v="WO-4102593"/>
        <s v="WO-4102594"/>
        <s v="WO-4102595"/>
        <s v="WO-4102596"/>
        <s v="WO-4102597"/>
        <s v="WO-4102598"/>
        <s v="WO-4102599"/>
        <s v="WO-4102600"/>
        <s v="WO-4102601"/>
        <s v="WO-4102602"/>
        <s v="WO-4102603"/>
        <s v="WO-4102604"/>
        <s v="WO-4102605"/>
        <s v="WO-4102606"/>
        <s v="WO-4102607"/>
        <s v="WO-4102608"/>
        <s v="WO-4102609"/>
        <s v="WO-4102610"/>
        <s v="WO-4102611"/>
        <s v="WO-4102612"/>
        <s v="WO-4102613"/>
        <s v="WO-4102614"/>
        <s v="WO-4102615"/>
        <s v="WO-4102616"/>
        <s v="WO-4102617"/>
        <s v="WO-4102618"/>
        <s v="WO-4102619"/>
        <s v="WO-4102620"/>
        <s v="WO-4102621"/>
        <s v="WO-4102622"/>
        <s v="WO-4102623"/>
        <s v="WO-4102624"/>
        <s v="WO-4102625"/>
        <s v="WO-4102626"/>
        <s v="WO-4102627"/>
        <s v="WO-4102628"/>
        <s v="WO-4102629"/>
        <s v="WO-4102630"/>
        <s v="WO-4102631"/>
        <s v="WO-4102632"/>
        <s v="WO-4102633"/>
        <s v="WO-4102634"/>
        <s v="WO-4102635"/>
        <s v="WO-4102636"/>
        <s v="WO-4102637"/>
        <s v="WO-4102638"/>
        <s v="WO-4102639"/>
        <s v="WO-4102640"/>
        <s v="WO-4102641"/>
        <s v="WO-4102642"/>
        <s v="WO-4102643"/>
        <s v="WO-4102644"/>
        <s v="WO-4102645"/>
        <s v="WO-4102646"/>
        <s v="WO-4102647"/>
        <s v="WO-4102648"/>
        <s v="WO-4102649"/>
        <s v="WO-4102650"/>
        <s v="WO-4102651"/>
        <s v="WO-4102652"/>
        <s v="WO-4102653"/>
        <s v="WO-4102654"/>
        <s v="WO-4102655"/>
        <s v="WO-4102656"/>
        <s v="WO-4102657"/>
        <s v="WO-4102658"/>
        <s v="WO-4102659"/>
        <s v="WO-4102660"/>
        <s v="WO-4102661"/>
        <s v="WO-4102662"/>
        <s v="WO-4102663"/>
        <s v="WO-4102664"/>
        <s v="WO-4102665"/>
        <s v="WO-4102666"/>
        <s v="WO-4102667"/>
        <s v="WO-4102668"/>
        <s v="WO-4102669"/>
        <s v="WO-4102670"/>
        <s v="WO-4102671"/>
        <s v="WO-4102672"/>
        <s v="WO-4102673"/>
        <s v="WO-4102674"/>
        <s v="WO-4102675"/>
        <s v="WO-4102676"/>
        <s v="WO-4102677"/>
        <s v="WO-4102678"/>
        <s v="WO-4102679"/>
        <s v="WO-4102680"/>
        <s v="WO-4102681"/>
        <s v="WO-4102682"/>
        <s v="WO-4102683"/>
        <s v="WO-4102684"/>
        <s v="WO-4102685"/>
        <s v="WO-4102686"/>
        <s v="WO-4102687"/>
        <s v="WO-4102688"/>
        <s v="WO-4102689"/>
        <s v="WO-4102690"/>
        <s v="WO-4102691"/>
        <s v="WO-4102692"/>
        <s v="WO-4102693"/>
        <s v="WO-4102694"/>
        <s v="WO-4102695"/>
        <s v="WO-4102696"/>
        <s v="WO-4102697"/>
        <s v="WO-4102698"/>
        <s v="WO-4102699"/>
        <s v="WO-4102700"/>
        <s v="WO-4102701"/>
        <s v="WO-4102702"/>
        <s v="WO-4102703"/>
        <s v="WO-4102704"/>
        <s v="WO-4102705"/>
        <s v="WO-4102706"/>
        <s v="WO-4102707"/>
        <s v="WO-4102708"/>
        <s v="WO-4102709"/>
        <s v="WO-4102710"/>
        <s v="WO-4102711"/>
        <s v="WO-4102712"/>
        <s v="WO-4102713"/>
        <s v="WO-4102714"/>
        <s v="WO-4102715"/>
        <s v="WO-4102716"/>
        <s v="WO-4102717"/>
        <s v="WO-4102718"/>
        <s v="WO-4102719"/>
        <s v="WO-4102720"/>
        <s v="WO-4102721"/>
        <s v="WO-4102722"/>
        <s v="WO-4102723"/>
        <s v="WO-4102724"/>
        <s v="WO-4102725"/>
        <s v="WO-4102726"/>
        <s v="WO-4102727"/>
        <s v="WO-4102728"/>
        <s v="WO-4102729"/>
        <s v="WO-4102730"/>
        <s v="WO-4102731"/>
        <s v="WO-4102732"/>
        <s v="WO-4102733"/>
        <s v="WO-4102734"/>
        <s v="WO-4102735"/>
        <s v="WO-4102736"/>
        <s v="WO-4102737"/>
        <s v="WO-4102738"/>
        <s v="WO-4102739"/>
        <s v="WO-4102740"/>
        <s v="WO-4102741"/>
        <s v="WO-4102742"/>
        <s v="WO-4102743"/>
        <s v="WO-4102744"/>
        <s v="WO-4102745"/>
        <s v="WO-4102746"/>
        <s v="WO-4102747"/>
        <s v="WO-4102748"/>
        <s v="WO-4102749"/>
        <s v="WO-4102750"/>
        <s v="WO-4102751"/>
        <s v="WO-4102752"/>
        <s v="WO-4102753"/>
        <s v="WO-4102754"/>
        <s v="WO-4102755"/>
        <s v="WO-4102756"/>
        <s v="WO-4102757"/>
        <s v="WO-4102758"/>
        <s v="WO-4102759"/>
        <s v="WO-4102760"/>
        <s v="WO-4102761"/>
        <s v="WO-4102762"/>
        <s v="WO-4102763"/>
        <s v="WO-4102764"/>
        <s v="WO-4102765"/>
        <s v="WO-4102766"/>
        <s v="WO-4102767"/>
        <s v="WO-4102768"/>
        <s v="WO-4102769"/>
        <s v="WO-4102770"/>
        <s v="WO-4102771"/>
        <s v="WO-4102772"/>
        <s v="WO-4102773"/>
        <s v="WO-4102774"/>
        <s v="WO-4102775"/>
        <s v="WO-4102776"/>
        <s v="WO-4102777"/>
        <s v="WO-4102778"/>
        <s v="WO-4102779"/>
        <s v="WO-4102780"/>
        <s v="WO-4102781"/>
        <s v="WO-4102782"/>
        <s v="WO-4102783"/>
        <s v="WO-4102784"/>
        <s v="WO-4102785"/>
        <s v="WO-4102786"/>
        <s v="WO-4102787"/>
        <s v="WO-4102788"/>
        <s v="WO-4102789"/>
        <s v="WO-4102790"/>
        <s v="WO-4102791"/>
        <s v="WO-4102792"/>
        <s v="WO-4102793"/>
        <s v="WO-4102794"/>
        <s v="WO-4102795"/>
        <s v="WO-4102796"/>
        <s v="WO-4102797"/>
        <s v="WO-4102798"/>
        <s v="WO-4102799"/>
        <s v="WO-4102800"/>
        <s v="WO-4102801"/>
        <s v="WO-4102802"/>
        <s v="WO-4102803"/>
        <s v="WO-4102804"/>
        <s v="WO-4102805"/>
        <s v="WO-4102806"/>
        <s v="WO-4102807"/>
        <s v="WO-4102808"/>
        <s v="WO-4102809"/>
        <s v="WO-4102810"/>
        <s v="WO-4102811"/>
        <s v="WO-4102812"/>
        <s v="WO-4102813"/>
        <s v="WO-4102814"/>
        <s v="WO-4102815"/>
        <s v="WO-4102816"/>
        <s v="WO-4102817"/>
        <s v="WO-4102818"/>
        <s v="WO-4102819"/>
        <s v="WO-4102820"/>
        <s v="WO-4102821"/>
        <s v="WO-4102822"/>
        <s v="WO-4102823"/>
        <s v="WO-4102824"/>
        <s v="WO-4102825"/>
        <s v="WO-4102826"/>
        <s v="WO-4102827"/>
        <s v="WO-4102828"/>
        <s v="WO-4102829"/>
        <s v="WO-4102830"/>
        <s v="WO-4102831"/>
        <s v="WO-4102832"/>
        <s v="WO-4102833"/>
        <s v="WO-4102834"/>
        <s v="WO-4102835"/>
        <s v="WO-4102836"/>
        <s v="WO-4102837"/>
        <s v="WO-4102838"/>
        <s v="WO-4102839"/>
        <s v="WO-4102840"/>
        <s v="WO-4102841"/>
        <s v="WO-4102842"/>
        <s v="WO-4102843"/>
        <s v="WO-4102844"/>
        <s v="WO-4102845"/>
        <s v="WO-4102846"/>
        <s v="WO-4102847"/>
        <s v="WO-4102848"/>
        <s v="WO-4102849"/>
        <s v="WO-4102850"/>
        <s v="WO-4102851"/>
        <s v="WO-4102852"/>
        <s v="WO-4102853"/>
        <s v="WO-4102854"/>
        <s v="WO-4102855"/>
        <s v="WO-4102856"/>
        <s v="WO-4102857"/>
        <s v="WO-4102858"/>
        <s v="WO-4102859"/>
        <s v="WO-4102860"/>
        <s v="WO-4102861"/>
        <s v="WO-4102862"/>
        <s v="WO-4102863"/>
        <s v="WO-4102864"/>
        <s v="WO-4102865"/>
        <s v="WO-4102866"/>
        <s v="WO-4102867"/>
        <s v="WO-4102868"/>
        <s v="WO-4102869"/>
        <s v="WO-4102870"/>
        <s v="WO-4102871"/>
        <s v="WO-4102872"/>
        <s v="WO-4102873"/>
        <s v="WO-4102874"/>
        <s v="WO-4102875"/>
        <s v="WO-4102876"/>
        <s v="WO-4102877"/>
        <s v="WO-4102878"/>
        <s v="WO-4102879"/>
        <s v="WO-4102880"/>
        <s v="WO-4102881"/>
        <s v="WO-4102882"/>
        <s v="WO-4102883"/>
        <s v="WO-4102884"/>
        <s v="WO-4102885"/>
        <s v="WO-4102886"/>
        <s v="WO-4102887"/>
        <s v="WO-4102888"/>
        <s v="WO-4102889"/>
        <s v="WO-4102890"/>
        <s v="WO-4102891"/>
        <s v="WO-4102892"/>
        <s v="WO-4102893"/>
        <s v="WO-4102894"/>
        <s v="WO-4102895"/>
        <s v="WO-4102896"/>
        <s v="WO-4102897"/>
        <s v="WO-4102898"/>
        <s v="WO-4102899"/>
        <s v="WO-4102900"/>
        <s v="WO-4102901"/>
        <s v="WO-4102902"/>
        <s v="WO-4102903"/>
        <s v="WO-4102904"/>
        <s v="WO-4102905"/>
        <s v="WO-4102906"/>
        <s v="WO-4102907"/>
        <s v="WO-4102908"/>
        <s v="WO-4102909"/>
        <s v="WO-4102910"/>
        <s v="WO-4102911"/>
        <s v="WO-4102912"/>
        <s v="WO-4102913"/>
        <s v="WO-4102914"/>
        <s v="WO-4102915"/>
        <s v="WO-4102916"/>
        <s v="WO-4102917"/>
        <s v="WO-4102918"/>
        <s v="WO-4102919"/>
        <s v="WO-4102920"/>
        <s v="WO-4102921"/>
        <s v="WO-4102922"/>
        <s v="WO-4102923"/>
        <s v="WO-4102924"/>
        <s v="WO-4102925"/>
        <s v="WO-4102926"/>
        <s v="WO-4102927"/>
        <s v="WO-4102928"/>
        <s v="WO-4102929"/>
        <s v="WO-4102930"/>
        <s v="WO-4102931"/>
        <s v="WO-4102932"/>
        <s v="WO-4102933"/>
        <s v="WO-4102934"/>
        <s v="WO-4102935"/>
        <s v="WO-4102936"/>
        <s v="WO-4102937"/>
        <s v="WO-4102938"/>
        <s v="WO-4102939"/>
        <s v="WO-4102940"/>
        <s v="WO-4102941"/>
        <s v="WO-4102942"/>
        <s v="WO-4102943"/>
        <s v="WO-4102944"/>
        <s v="WO-4102945"/>
        <s v="WO-4102946"/>
        <s v="WO-4102947"/>
        <s v="WO-4102948"/>
        <s v="WO-4102949"/>
        <s v="WO-4102950"/>
        <s v="WO-4102951"/>
        <s v="WO-4102952"/>
        <s v="WO-4102953"/>
        <s v="WO-4102954"/>
        <s v="WO-4102955"/>
        <s v="WO-4102956"/>
        <s v="WO-4102957"/>
        <s v="WO-4102958"/>
        <s v="WO-4102959"/>
        <s v="WO-4102960"/>
        <s v="WO-4102961"/>
        <s v="WO-4102962"/>
        <s v="WO-4102963"/>
        <s v="WO-4102964"/>
        <s v="WO-4102965"/>
        <s v="WO-4102966"/>
        <s v="WO-4102967"/>
        <s v="WO-4102968"/>
        <s v="WO-4102969"/>
        <s v="WO-4102970"/>
        <s v="WO-4102971"/>
        <s v="WO-4102972"/>
        <s v="WO-4102973"/>
        <s v="WO-4102974"/>
        <s v="WO-4102975"/>
        <s v="WO-4102976"/>
        <s v="WO-4102977"/>
        <s v="WO-4102978"/>
        <s v="WO-4102979"/>
        <s v="WO-4102980"/>
        <s v="WO-4102981"/>
        <s v="WO-4102982"/>
        <s v="WO-4102983"/>
        <s v="WO-4102984"/>
        <s v="WO-4102985"/>
        <s v="WO-4102986"/>
        <s v="WO-4102987"/>
        <s v="WO-4102988"/>
        <s v="WO-4102989"/>
        <s v="WO-4102990"/>
        <s v="WO-4102991"/>
        <s v="WO-4102992"/>
        <s v="WO-4102993"/>
        <s v="WO-4102994"/>
        <s v="WO-4102995"/>
        <s v="WO-4102996"/>
        <s v="WO-4102997"/>
        <s v="WO-4102998"/>
        <s v="WO-4102999"/>
        <s v="WO-4103000"/>
        <s v="WO-4103001"/>
        <s v="WO-4103002"/>
        <s v="WO-4103003"/>
        <s v="WO-4103004"/>
        <s v="WO-4103005"/>
        <s v="WO-4103006"/>
        <s v="WO-4103007"/>
        <s v="WO-4103008"/>
        <s v="WO-4103009"/>
        <s v="WO-4103010"/>
        <s v="WO-4103011"/>
        <s v="WO-4103012"/>
        <s v="WO-4103013"/>
        <s v="WO-4103014"/>
        <s v="WO-4103015"/>
        <s v="WO-4103016"/>
        <s v="WO-4103017"/>
        <s v="WO-4103018"/>
        <s v="WO-4103019"/>
        <s v="WO-4103020"/>
        <s v="WO-4103021"/>
        <s v="WO-4103022"/>
        <s v="WO-4103023"/>
        <s v="WO-4103024"/>
        <s v="WO-4103025"/>
        <s v="WO-4103026"/>
        <s v="WO-4103027"/>
        <s v="WO-4103028"/>
        <s v="WO-4103029"/>
        <s v="WO-4103030"/>
        <s v="WO-4103031"/>
        <s v="WO-4103032"/>
        <s v="WO-4103033"/>
        <s v="WO-4103034"/>
        <s v="WO-4103035"/>
        <s v="WO-4103036"/>
        <s v="WO-4103037"/>
        <s v="WO-4103038"/>
        <s v="WO-4103039"/>
        <s v="WO-4103040"/>
        <s v="WO-4103041"/>
        <s v="WO-4103042"/>
        <s v="WO-4103043"/>
        <s v="WO-4103044"/>
        <s v="WO-4103045"/>
        <s v="WO-4103046"/>
        <s v="WO-4103047"/>
        <s v="WO-4103048"/>
        <s v="WO-4103049"/>
        <s v="WO-4103050"/>
        <s v="WO-4103051"/>
        <s v="WO-4103052"/>
        <s v="WO-4103053"/>
        <s v="WO-4103054"/>
        <s v="WO-4103055"/>
        <s v="WO-4103056"/>
        <s v="WO-4103057"/>
        <s v="WO-4103058"/>
        <s v="WO-4103059"/>
        <s v="WO-4103060"/>
        <s v="WO-4103061"/>
        <s v="WO-4103062"/>
        <s v="WO-4103063"/>
        <s v="WO-4103064"/>
        <s v="WO-4103065"/>
        <s v="WO-4103066"/>
        <s v="WO-4103067"/>
        <s v="WO-4103068"/>
        <s v="WO-4103069"/>
        <s v="WO-4103070"/>
        <s v="WO-4103071"/>
        <s v="WO-4103072"/>
        <s v="WO-4103073"/>
        <s v="WO-4103074"/>
        <s v="WO-4103075"/>
        <s v="WO-4103076"/>
        <s v="WO-4103077"/>
        <s v="WO-4103078"/>
        <s v="WO-4103079"/>
        <s v="WO-4103080"/>
        <s v="WO-4103081"/>
        <s v="WO-4103082"/>
        <s v="WO-4103083"/>
        <s v="WO-4103084"/>
        <s v="WO-4103085"/>
        <s v="WO-4103086"/>
        <s v="WO-4103087"/>
        <s v="WO-4103088"/>
        <s v="WO-4103089"/>
        <s v="WO-4103090"/>
        <s v="WO-4103091"/>
        <s v="WO-4103092"/>
        <s v="WO-4103093"/>
        <s v="WO-4103094"/>
        <s v="WO-4103095"/>
        <s v="WO-4103096"/>
        <s v="WO-4103097"/>
        <s v="WO-4103098"/>
        <s v="WO-4103099"/>
        <s v="WO-4103100"/>
        <s v="WO-4103101"/>
        <s v="WO-4103102"/>
        <s v="WO-4103103"/>
        <s v="WO-4103104"/>
        <s v="WO-4103105"/>
        <s v="WO-4103106"/>
        <s v="WO-4103107"/>
        <s v="WO-4103108"/>
        <s v="WO-4103109"/>
        <s v="WO-4103110"/>
        <s v="WO-4103111"/>
        <s v="WO-4103112"/>
        <s v="WO-4103113"/>
        <s v="WO-4103114"/>
        <s v="WO-4103115"/>
        <s v="WO-4103116"/>
        <s v="WO-4103117"/>
        <s v="WO-4103118"/>
        <s v="WO-4103119"/>
        <s v="WO-4103120"/>
        <s v="WO-4103121"/>
        <s v="WO-4103122"/>
        <s v="WO-4103123"/>
        <s v="WO-4103124"/>
        <s v="WO-4103125"/>
        <s v="WO-4103126"/>
        <s v="WO-4103127"/>
        <s v="WO-4103128"/>
        <s v="WO-4103129"/>
        <s v="WO-4103130"/>
        <s v="WO-4103131"/>
        <s v="WO-4103132"/>
        <s v="WO-4103133"/>
        <s v="WO-4103134"/>
        <s v="WO-4103135"/>
        <s v="WO-4103136"/>
        <s v="WO-4103137"/>
        <s v="WO-4103138"/>
        <s v="WO-4103139"/>
        <s v="WO-4103140"/>
        <s v="WO-4103141"/>
        <s v="WO-4103142"/>
        <s v="WO-4103143"/>
        <s v="WO-4103144"/>
        <s v="WO-4103145"/>
        <s v="WO-4103146"/>
        <s v="WO-4103147"/>
        <s v="WO-4103148"/>
        <s v="WO-4103149"/>
        <s v="WO-4103150"/>
        <s v="WO-4103151"/>
        <s v="WO-4103152"/>
        <s v="WO-4103153"/>
        <s v="WO-4103154"/>
        <s v="WO-4103155"/>
        <s v="WO-4103156"/>
        <s v="WO-4103157"/>
        <s v="WO-4103158"/>
        <s v="WO-4103159"/>
        <s v="WO-4103160"/>
        <s v="WO-4103161"/>
        <s v="WO-4103162"/>
        <s v="WO-4103163"/>
        <s v="WO-4103164"/>
        <s v="WO-4103165"/>
        <s v="WO-4103166"/>
        <s v="WO-4103167"/>
        <s v="WO-4103168"/>
        <s v="WO-4103169"/>
        <s v="WO-4103170"/>
        <s v="WO-4103171"/>
        <s v="WO-4103172"/>
        <s v="WO-4103173"/>
        <s v="WO-4103174"/>
        <s v="WO-4103175"/>
        <s v="WO-4103176"/>
        <s v="WO-4103177"/>
        <s v="WO-4103178"/>
        <s v="WO-4103179"/>
        <s v="WO-4103180"/>
        <s v="WO-4103181"/>
        <s v="WO-4103182"/>
        <s v="WO-4103183"/>
        <s v="WO-4103184"/>
        <s v="WO-4103185"/>
        <s v="WO-4103186"/>
        <s v="WO-4103187"/>
        <s v="WO-4103188"/>
        <s v="WO-4103189"/>
        <s v="WO-4103190"/>
        <s v="WO-4103191"/>
        <s v="WO-4103192"/>
        <s v="WO-4103193"/>
        <s v="WO-4103194"/>
        <s v="WO-4103195"/>
        <s v="WO-4103196"/>
        <s v="WO-4103197"/>
        <s v="WO-4103198"/>
        <s v="WO-4103199"/>
        <s v="WO-4103200"/>
        <s v="WO-4103201"/>
        <s v="WO-4103202"/>
        <s v="WO-4103203"/>
        <s v="WO-4103204"/>
        <s v="WO-4103205"/>
        <s v="WO-4103206"/>
        <s v="WO-4103207"/>
        <s v="WO-4103208"/>
        <s v="WO-4103209"/>
        <s v="WO-4103210"/>
        <s v="WO-4103211"/>
        <s v="WO-4103212"/>
        <s v="WO-4103213"/>
        <s v="WO-4103214"/>
        <s v="WO-4103215"/>
        <s v="WO-4103216"/>
        <s v="WO-4103217"/>
        <s v="WO-4103218"/>
        <s v="WO-4103219"/>
        <s v="WO-4103220"/>
        <s v="WO-4103221"/>
        <s v="WO-4103222"/>
        <s v="WO-4103223"/>
        <s v="WO-4103224"/>
        <s v="WO-4103225"/>
        <s v="WO-4103226"/>
        <s v="WO-4103227"/>
        <s v="WO-4103228"/>
        <s v="WO-4103229"/>
        <s v="WO-4103230"/>
        <s v="WO-4103231"/>
        <s v="WO-4103232"/>
        <s v="WO-4103233"/>
        <s v="WO-4103234"/>
        <s v="WO-4103235"/>
        <s v="WO-4103236"/>
        <s v="WO-4103237"/>
        <s v="WO-4103238"/>
        <s v="WO-4103239"/>
        <s v="WO-4103240"/>
        <s v="WO-4103241"/>
        <s v="WO-4103242"/>
        <s v="WO-4103243"/>
        <s v="WO-4103244"/>
        <s v="WO-4103245"/>
        <s v="WO-4103246"/>
        <s v="WO-4103247"/>
        <s v="WO-4103248"/>
        <s v="WO-4103249"/>
        <s v="WO-4103250"/>
        <s v="WO-4103251"/>
        <s v="WO-4103252"/>
        <s v="WO-4103253"/>
        <s v="WO-4103254"/>
        <s v="WO-4103255"/>
        <s v="WO-4103256"/>
        <s v="WO-4103257"/>
        <s v="WO-4103258"/>
        <s v="WO-4103259"/>
        <s v="WO-4103260"/>
        <s v="WO-4103261"/>
        <s v="WO-4103262"/>
        <s v="WO-4103263"/>
        <s v="WO-4103264"/>
        <s v="WO-4103265"/>
        <s v="WO-4103266"/>
        <s v="WO-4103267"/>
      </sharedItems>
    </cacheField>
    <cacheField name="LineCode" numFmtId="0">
      <sharedItems count="6">
        <s v="L01"/>
        <s v="L02"/>
        <s v="L03"/>
        <s v="L04"/>
        <s v="L05"/>
        <s v="L06"/>
      </sharedItems>
    </cacheField>
    <cacheField name="ModelCode" numFmtId="0">
      <sharedItems count="12">
        <s v="M101"/>
        <s v="M102"/>
        <s v="M103"/>
        <s v="M104"/>
        <s v="M105"/>
        <s v="M106"/>
        <s v="M107"/>
        <s v="M108"/>
        <s v="M109"/>
        <s v="M110"/>
        <s v="M111"/>
        <s v="M112"/>
      </sharedItems>
    </cacheField>
    <cacheField name="ModelName" numFmtId="0">
      <sharedItems count="12">
        <s v="24-inch HD TV"/>
        <s v="32-inch HD TV"/>
        <s v="32-inch Smart TV"/>
        <s v="40-inch Full HD TV"/>
        <s v="43-inch Full HD TV"/>
        <s v="43-inch Smart TV"/>
        <s v="50-inch 4K TV"/>
        <s v="55-inch 4K TV"/>
        <s v="55-inch QLED TV"/>
        <s v="65-inch 4K TV"/>
        <s v="65-inch QLED TV"/>
        <s v="75-inch 4K TV"/>
      </sharedItems>
    </cacheField>
    <cacheField name="CountryCode" numFmtId="0">
      <sharedItems count="10">
        <s v="AE"/>
        <s v="EG"/>
        <s v="IQ"/>
        <s v="JO"/>
        <s v="KE"/>
        <s v="KW"/>
        <s v="LY"/>
        <s v="MA"/>
        <s v="NG"/>
        <s v="SA"/>
      </sharedItems>
    </cacheField>
    <cacheField name="CountryName" numFmtId="0">
      <sharedItems count="10">
        <s v="Egypt"/>
        <s v="Iraq"/>
        <s v="Jordan"/>
        <s v="Kenya"/>
        <s v="Kuwait"/>
        <s v="Libya"/>
        <s v="Morocco"/>
        <s v="Nigeria"/>
        <s v="Saudi Arabia"/>
        <s v="United Arab Emirates"/>
      </sharedItems>
    </cacheField>
    <cacheField name="Qty" numFmtId="0">
      <sharedItems containsSemiMixedTypes="0" containsString="0" containsNumber="1" containsInteger="1" minValue="5" maxValue="64" count="60"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</sharedItems>
    </cacheField>
    <cacheField name="Value" numFmtId="0">
      <sharedItems containsSemiMixedTypes="0" containsString="0" containsNumber="1" containsInteger="1" minValue="14500" maxValue="539000" count="318">
        <n v="14500"/>
        <n v="17400"/>
        <n v="19500"/>
        <n v="23000"/>
        <n v="23200"/>
        <n v="23400"/>
        <n v="27300"/>
        <n v="27600"/>
        <n v="31000"/>
        <n v="31900"/>
        <n v="32200"/>
        <n v="34500"/>
        <n v="34800"/>
        <n v="35100"/>
        <n v="37200"/>
        <n v="37700"/>
        <n v="39000"/>
        <n v="40600"/>
        <n v="41400"/>
        <n v="42900"/>
        <n v="43400"/>
        <n v="43500"/>
        <n v="46000"/>
        <n v="46400"/>
        <n v="46800"/>
        <n v="48300"/>
        <n v="49300"/>
        <n v="49600"/>
        <n v="50600"/>
        <n v="50700"/>
        <n v="52000"/>
        <n v="52200"/>
        <n v="54600"/>
        <n v="55100"/>
        <n v="55200"/>
        <n v="55800"/>
        <n v="58000"/>
        <n v="58500"/>
        <n v="59800"/>
        <n v="60900"/>
        <n v="61500"/>
        <n v="62000"/>
        <n v="62100"/>
        <n v="62400"/>
        <n v="63800"/>
        <n v="66300"/>
        <n v="68200"/>
        <n v="69000"/>
        <n v="70200"/>
        <n v="72500"/>
        <n v="72800"/>
        <n v="73600"/>
        <n v="73800"/>
        <n v="74400"/>
        <n v="75400"/>
        <n v="75900"/>
        <n v="78000"/>
        <n v="78200"/>
        <n v="78300"/>
        <n v="80600"/>
        <n v="81200"/>
        <n v="81900"/>
        <n v="82800"/>
        <n v="83200"/>
        <n v="85800"/>
        <n v="86100"/>
        <n v="86800"/>
        <n v="87000"/>
        <n v="89700"/>
        <n v="89900"/>
        <n v="92000"/>
        <n v="92800"/>
        <n v="93000"/>
        <n v="93600"/>
        <n v="96600"/>
        <n v="97500"/>
        <n v="98400"/>
        <n v="99000"/>
        <n v="99200"/>
        <n v="101200"/>
        <n v="101400"/>
        <n v="101500"/>
        <n v="103500"/>
        <n v="104000"/>
        <n v="104400"/>
        <n v="105300"/>
        <n v="105400"/>
        <n v="105800"/>
        <n v="107300"/>
        <n v="109200"/>
        <n v="110200"/>
        <n v="110400"/>
        <n v="110700"/>
        <n v="111600"/>
        <n v="113100"/>
        <n v="114400"/>
        <n v="115000"/>
        <n v="117000"/>
        <n v="117300"/>
        <n v="117800"/>
        <n v="118800"/>
        <n v="118900"/>
        <n v="119600"/>
        <n v="120900"/>
        <n v="121800"/>
        <n v="122500"/>
        <n v="123000"/>
        <n v="124000"/>
        <n v="124200"/>
        <n v="124700"/>
        <n v="124800"/>
        <n v="127600"/>
        <n v="128700"/>
        <n v="128800"/>
        <n v="130200"/>
        <n v="130500"/>
        <n v="131100"/>
        <n v="132600"/>
        <n v="133400"/>
        <n v="135300"/>
        <n v="136300"/>
        <n v="136400"/>
        <n v="136500"/>
        <n v="138000"/>
        <n v="138600"/>
        <n v="139200"/>
        <n v="140400"/>
        <n v="142600"/>
        <n v="144300"/>
        <n v="144900"/>
        <n v="145000"/>
        <n v="145600"/>
        <n v="147000"/>
        <n v="147200"/>
        <n v="147600"/>
        <n v="147900"/>
        <n v="148200"/>
        <n v="150800"/>
        <n v="151800"/>
        <n v="152100"/>
        <n v="153700"/>
        <n v="155000"/>
        <n v="156000"/>
        <n v="156400"/>
        <n v="156600"/>
        <n v="158400"/>
        <n v="159500"/>
        <n v="159900"/>
        <n v="161000"/>
        <n v="161200"/>
        <n v="162400"/>
        <n v="163800"/>
        <n v="165300"/>
        <n v="166400"/>
        <n v="167700"/>
        <n v="168200"/>
        <n v="171100"/>
        <n v="171500"/>
        <n v="171600"/>
        <n v="172200"/>
        <n v="172500"/>
        <n v="173600"/>
        <n v="174000"/>
        <n v="174800"/>
        <n v="176800"/>
        <n v="176900"/>
        <n v="178200"/>
        <n v="179400"/>
        <n v="179800"/>
        <n v="183300"/>
        <n v="184000"/>
        <n v="184500"/>
        <n v="185600"/>
        <n v="186000"/>
        <n v="187200"/>
        <n v="188600"/>
        <n v="191100"/>
        <n v="192200"/>
        <n v="193200"/>
        <n v="195000"/>
        <n v="196000"/>
        <n v="196800"/>
        <n v="197600"/>
        <n v="197800"/>
        <n v="198000"/>
        <n v="198400"/>
        <n v="198900"/>
        <n v="200100"/>
        <n v="202400"/>
        <n v="202800"/>
        <n v="204600"/>
        <n v="206700"/>
        <n v="207000"/>
        <n v="208000"/>
        <n v="209100"/>
        <n v="210600"/>
        <n v="210800"/>
        <n v="213900"/>
        <n v="214500"/>
        <n v="216200"/>
        <n v="217000"/>
        <n v="217800"/>
        <n v="218400"/>
        <n v="220500"/>
        <n v="220800"/>
        <n v="223200"/>
        <n v="225400"/>
        <n v="226200"/>
        <n v="227700"/>
        <n v="228800"/>
        <n v="229400"/>
        <n v="230100"/>
        <n v="233700"/>
        <n v="234000"/>
        <n v="234600"/>
        <n v="235600"/>
        <n v="237600"/>
        <n v="237900"/>
        <n v="239200"/>
        <n v="241500"/>
        <n v="241800"/>
        <n v="243800"/>
        <n v="245000"/>
        <n v="246000"/>
        <n v="248000"/>
        <n v="248400"/>
        <n v="249600"/>
        <n v="253000"/>
        <n v="254200"/>
        <n v="255300"/>
        <n v="257400"/>
        <n v="257600"/>
        <n v="258300"/>
        <n v="260000"/>
        <n v="260400"/>
        <n v="262200"/>
        <n v="265200"/>
        <n v="266600"/>
        <n v="269100"/>
        <n v="269500"/>
        <n v="270400"/>
        <n v="270600"/>
        <n v="271400"/>
        <n v="272800"/>
        <n v="273000"/>
        <n v="276000"/>
        <n v="277200"/>
        <n v="280600"/>
        <n v="280800"/>
        <n v="282900"/>
        <n v="285200"/>
        <n v="288600"/>
        <n v="289800"/>
        <n v="291200"/>
        <n v="291400"/>
        <n v="294000"/>
        <n v="294400"/>
        <n v="295200"/>
        <n v="296400"/>
        <n v="296700"/>
        <n v="297000"/>
        <n v="297600"/>
        <n v="301600"/>
        <n v="303600"/>
        <n v="303800"/>
        <n v="307500"/>
        <n v="310500"/>
        <n v="312000"/>
        <n v="316800"/>
        <n v="317400"/>
        <n v="318500"/>
        <n v="319800"/>
        <n v="322400"/>
        <n v="324300"/>
        <n v="327600"/>
        <n v="331200"/>
        <n v="332100"/>
        <n v="332800"/>
        <n v="335400"/>
        <n v="336600"/>
        <n v="338100"/>
        <n v="343000"/>
        <n v="343200"/>
        <n v="344400"/>
        <n v="351000"/>
        <n v="353600"/>
        <n v="356400"/>
        <n v="356700"/>
        <n v="358800"/>
        <n v="367500"/>
        <n v="369000"/>
        <n v="374400"/>
        <n v="376200"/>
        <n v="381300"/>
        <n v="382200"/>
        <n v="390000"/>
        <n v="392000"/>
        <n v="393600"/>
        <n v="396000"/>
        <n v="405600"/>
        <n v="405900"/>
        <n v="415800"/>
        <n v="416500"/>
        <n v="418200"/>
        <n v="421200"/>
        <n v="435600"/>
        <n v="436800"/>
        <n v="441000"/>
        <n v="452400"/>
        <n v="465500"/>
        <n v="468000"/>
        <n v="483600"/>
        <n v="490000"/>
        <n v="499200"/>
        <n v="514500"/>
        <n v="514800"/>
        <n v="530400"/>
        <n v="539000"/>
      </sharedItems>
    </cacheField>
    <cacheField name="Month" numFmtId="0">
      <sharedItems count="3">
        <s v="2026-07"/>
        <s v="2026-08"/>
        <s v="2026-09"/>
      </sharedItems>
    </cacheField>
    <cacheField name="SourceFile" numFmtId="0">
      <sharedItems count="13">
        <s v="Week_01.xlsx"/>
        <s v="Week_02.xlsx"/>
        <s v="Week_03.xlsx"/>
        <s v="Week_04.xlsx"/>
        <s v="Week_05.xlsx"/>
        <s v="Week_06.xlsx"/>
        <s v="Week_07.xlsx"/>
        <s v="Week_08.xlsx"/>
        <s v="Week_09.xlsx"/>
        <s v="Week_10.xlsx"/>
        <s v="Week_11.xlsx"/>
        <s v="Week_12.xlsx"/>
        <s v="Week_13.xls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7">
  <r>
    <x v="0"/>
    <x v="0"/>
    <x v="0"/>
    <x v="2"/>
    <x v="2"/>
    <x v="3"/>
    <x v="2"/>
    <x v="43"/>
    <x v="204"/>
    <x v="0"/>
    <x v="0"/>
  </r>
  <r>
    <x v="0"/>
    <x v="1"/>
    <x v="0"/>
    <x v="6"/>
    <x v="6"/>
    <x v="1"/>
    <x v="0"/>
    <x v="0"/>
    <x v="30"/>
    <x v="0"/>
    <x v="0"/>
  </r>
  <r>
    <x v="0"/>
    <x v="2"/>
    <x v="0"/>
    <x v="4"/>
    <x v="4"/>
    <x v="4"/>
    <x v="3"/>
    <x v="16"/>
    <x v="129"/>
    <x v="0"/>
    <x v="0"/>
  </r>
  <r>
    <x v="0"/>
    <x v="3"/>
    <x v="0"/>
    <x v="3"/>
    <x v="3"/>
    <x v="8"/>
    <x v="7"/>
    <x v="7"/>
    <x v="53"/>
    <x v="0"/>
    <x v="0"/>
  </r>
  <r>
    <x v="0"/>
    <x v="4"/>
    <x v="0"/>
    <x v="10"/>
    <x v="10"/>
    <x v="1"/>
    <x v="0"/>
    <x v="8"/>
    <x v="270"/>
    <x v="0"/>
    <x v="0"/>
  </r>
  <r>
    <x v="0"/>
    <x v="5"/>
    <x v="1"/>
    <x v="3"/>
    <x v="3"/>
    <x v="2"/>
    <x v="1"/>
    <x v="18"/>
    <x v="127"/>
    <x v="0"/>
    <x v="0"/>
  </r>
  <r>
    <x v="0"/>
    <x v="6"/>
    <x v="1"/>
    <x v="5"/>
    <x v="5"/>
    <x v="1"/>
    <x v="0"/>
    <x v="17"/>
    <x v="158"/>
    <x v="0"/>
    <x v="0"/>
  </r>
  <r>
    <x v="0"/>
    <x v="7"/>
    <x v="1"/>
    <x v="2"/>
    <x v="2"/>
    <x v="0"/>
    <x v="9"/>
    <x v="8"/>
    <x v="38"/>
    <x v="0"/>
    <x v="0"/>
  </r>
  <r>
    <x v="0"/>
    <x v="8"/>
    <x v="2"/>
    <x v="11"/>
    <x v="11"/>
    <x v="8"/>
    <x v="7"/>
    <x v="3"/>
    <x v="226"/>
    <x v="0"/>
    <x v="0"/>
  </r>
  <r>
    <x v="0"/>
    <x v="9"/>
    <x v="2"/>
    <x v="2"/>
    <x v="2"/>
    <x v="2"/>
    <x v="1"/>
    <x v="56"/>
    <x v="247"/>
    <x v="0"/>
    <x v="0"/>
  </r>
  <r>
    <x v="0"/>
    <x v="10"/>
    <x v="2"/>
    <x v="0"/>
    <x v="0"/>
    <x v="1"/>
    <x v="0"/>
    <x v="8"/>
    <x v="15"/>
    <x v="0"/>
    <x v="0"/>
  </r>
  <r>
    <x v="0"/>
    <x v="11"/>
    <x v="2"/>
    <x v="7"/>
    <x v="7"/>
    <x v="8"/>
    <x v="7"/>
    <x v="27"/>
    <x v="297"/>
    <x v="0"/>
    <x v="0"/>
  </r>
  <r>
    <x v="0"/>
    <x v="12"/>
    <x v="2"/>
    <x v="9"/>
    <x v="9"/>
    <x v="8"/>
    <x v="7"/>
    <x v="3"/>
    <x v="145"/>
    <x v="0"/>
    <x v="0"/>
  </r>
  <r>
    <x v="0"/>
    <x v="13"/>
    <x v="3"/>
    <x v="0"/>
    <x v="0"/>
    <x v="1"/>
    <x v="0"/>
    <x v="54"/>
    <x v="156"/>
    <x v="0"/>
    <x v="0"/>
  </r>
  <r>
    <x v="0"/>
    <x v="14"/>
    <x v="4"/>
    <x v="1"/>
    <x v="1"/>
    <x v="1"/>
    <x v="0"/>
    <x v="26"/>
    <x v="103"/>
    <x v="0"/>
    <x v="0"/>
  </r>
  <r>
    <x v="0"/>
    <x v="15"/>
    <x v="5"/>
    <x v="1"/>
    <x v="1"/>
    <x v="1"/>
    <x v="0"/>
    <x v="16"/>
    <x v="61"/>
    <x v="0"/>
    <x v="0"/>
  </r>
  <r>
    <x v="0"/>
    <x v="16"/>
    <x v="5"/>
    <x v="10"/>
    <x v="10"/>
    <x v="6"/>
    <x v="5"/>
    <x v="14"/>
    <x v="309"/>
    <x v="0"/>
    <x v="0"/>
  </r>
  <r>
    <x v="1"/>
    <x v="17"/>
    <x v="0"/>
    <x v="1"/>
    <x v="1"/>
    <x v="2"/>
    <x v="1"/>
    <x v="20"/>
    <x v="75"/>
    <x v="0"/>
    <x v="0"/>
  </r>
  <r>
    <x v="1"/>
    <x v="18"/>
    <x v="0"/>
    <x v="2"/>
    <x v="2"/>
    <x v="5"/>
    <x v="4"/>
    <x v="16"/>
    <x v="74"/>
    <x v="0"/>
    <x v="0"/>
  </r>
  <r>
    <x v="1"/>
    <x v="19"/>
    <x v="1"/>
    <x v="5"/>
    <x v="5"/>
    <x v="7"/>
    <x v="6"/>
    <x v="41"/>
    <x v="288"/>
    <x v="0"/>
    <x v="0"/>
  </r>
  <r>
    <x v="1"/>
    <x v="20"/>
    <x v="1"/>
    <x v="1"/>
    <x v="1"/>
    <x v="1"/>
    <x v="0"/>
    <x v="28"/>
    <x v="112"/>
    <x v="0"/>
    <x v="0"/>
  </r>
  <r>
    <x v="1"/>
    <x v="21"/>
    <x v="2"/>
    <x v="5"/>
    <x v="5"/>
    <x v="1"/>
    <x v="0"/>
    <x v="12"/>
    <x v="117"/>
    <x v="0"/>
    <x v="0"/>
  </r>
  <r>
    <x v="1"/>
    <x v="22"/>
    <x v="2"/>
    <x v="9"/>
    <x v="9"/>
    <x v="3"/>
    <x v="2"/>
    <x v="3"/>
    <x v="145"/>
    <x v="0"/>
    <x v="0"/>
  </r>
  <r>
    <x v="1"/>
    <x v="23"/>
    <x v="3"/>
    <x v="0"/>
    <x v="0"/>
    <x v="1"/>
    <x v="0"/>
    <x v="0"/>
    <x v="0"/>
    <x v="0"/>
    <x v="0"/>
  </r>
  <r>
    <x v="1"/>
    <x v="24"/>
    <x v="3"/>
    <x v="8"/>
    <x v="8"/>
    <x v="1"/>
    <x v="0"/>
    <x v="24"/>
    <x v="308"/>
    <x v="0"/>
    <x v="0"/>
  </r>
  <r>
    <x v="1"/>
    <x v="25"/>
    <x v="4"/>
    <x v="10"/>
    <x v="10"/>
    <x v="1"/>
    <x v="0"/>
    <x v="4"/>
    <x v="203"/>
    <x v="0"/>
    <x v="0"/>
  </r>
  <r>
    <x v="1"/>
    <x v="26"/>
    <x v="4"/>
    <x v="3"/>
    <x v="3"/>
    <x v="1"/>
    <x v="0"/>
    <x v="28"/>
    <x v="190"/>
    <x v="0"/>
    <x v="0"/>
  </r>
  <r>
    <x v="1"/>
    <x v="27"/>
    <x v="4"/>
    <x v="8"/>
    <x v="8"/>
    <x v="1"/>
    <x v="0"/>
    <x v="12"/>
    <x v="236"/>
    <x v="0"/>
    <x v="0"/>
  </r>
  <r>
    <x v="1"/>
    <x v="28"/>
    <x v="5"/>
    <x v="1"/>
    <x v="1"/>
    <x v="1"/>
    <x v="0"/>
    <x v="57"/>
    <x v="220"/>
    <x v="0"/>
    <x v="0"/>
  </r>
  <r>
    <x v="1"/>
    <x v="29"/>
    <x v="5"/>
    <x v="6"/>
    <x v="6"/>
    <x v="8"/>
    <x v="7"/>
    <x v="28"/>
    <x v="282"/>
    <x v="0"/>
    <x v="0"/>
  </r>
  <r>
    <x v="2"/>
    <x v="30"/>
    <x v="0"/>
    <x v="10"/>
    <x v="10"/>
    <x v="0"/>
    <x v="9"/>
    <x v="14"/>
    <x v="309"/>
    <x v="0"/>
    <x v="0"/>
  </r>
  <r>
    <x v="2"/>
    <x v="31"/>
    <x v="0"/>
    <x v="8"/>
    <x v="8"/>
    <x v="4"/>
    <x v="3"/>
    <x v="19"/>
    <x v="291"/>
    <x v="0"/>
    <x v="0"/>
  </r>
  <r>
    <x v="2"/>
    <x v="32"/>
    <x v="0"/>
    <x v="10"/>
    <x v="10"/>
    <x v="1"/>
    <x v="0"/>
    <x v="7"/>
    <x v="255"/>
    <x v="0"/>
    <x v="0"/>
  </r>
  <r>
    <x v="2"/>
    <x v="33"/>
    <x v="0"/>
    <x v="2"/>
    <x v="2"/>
    <x v="2"/>
    <x v="1"/>
    <x v="13"/>
    <x v="62"/>
    <x v="0"/>
    <x v="0"/>
  </r>
  <r>
    <x v="2"/>
    <x v="34"/>
    <x v="1"/>
    <x v="10"/>
    <x v="10"/>
    <x v="1"/>
    <x v="0"/>
    <x v="0"/>
    <x v="105"/>
    <x v="0"/>
    <x v="0"/>
  </r>
  <r>
    <x v="2"/>
    <x v="35"/>
    <x v="1"/>
    <x v="0"/>
    <x v="0"/>
    <x v="1"/>
    <x v="0"/>
    <x v="0"/>
    <x v="0"/>
    <x v="0"/>
    <x v="0"/>
  </r>
  <r>
    <x v="2"/>
    <x v="36"/>
    <x v="2"/>
    <x v="8"/>
    <x v="8"/>
    <x v="1"/>
    <x v="0"/>
    <x v="21"/>
    <x v="299"/>
    <x v="0"/>
    <x v="0"/>
  </r>
  <r>
    <x v="2"/>
    <x v="37"/>
    <x v="2"/>
    <x v="5"/>
    <x v="5"/>
    <x v="1"/>
    <x v="0"/>
    <x v="28"/>
    <x v="230"/>
    <x v="0"/>
    <x v="0"/>
  </r>
  <r>
    <x v="2"/>
    <x v="38"/>
    <x v="2"/>
    <x v="2"/>
    <x v="2"/>
    <x v="1"/>
    <x v="0"/>
    <x v="57"/>
    <x v="250"/>
    <x v="0"/>
    <x v="0"/>
  </r>
  <r>
    <x v="2"/>
    <x v="39"/>
    <x v="2"/>
    <x v="1"/>
    <x v="1"/>
    <x v="1"/>
    <x v="0"/>
    <x v="7"/>
    <x v="24"/>
    <x v="0"/>
    <x v="0"/>
  </r>
  <r>
    <x v="2"/>
    <x v="40"/>
    <x v="3"/>
    <x v="9"/>
    <x v="9"/>
    <x v="1"/>
    <x v="0"/>
    <x v="11"/>
    <x v="268"/>
    <x v="0"/>
    <x v="0"/>
  </r>
  <r>
    <x v="2"/>
    <x v="41"/>
    <x v="3"/>
    <x v="5"/>
    <x v="5"/>
    <x v="1"/>
    <x v="0"/>
    <x v="44"/>
    <x v="294"/>
    <x v="0"/>
    <x v="0"/>
  </r>
  <r>
    <x v="2"/>
    <x v="42"/>
    <x v="3"/>
    <x v="6"/>
    <x v="6"/>
    <x v="1"/>
    <x v="0"/>
    <x v="10"/>
    <x v="142"/>
    <x v="0"/>
    <x v="0"/>
  </r>
  <r>
    <x v="2"/>
    <x v="43"/>
    <x v="3"/>
    <x v="1"/>
    <x v="1"/>
    <x v="1"/>
    <x v="0"/>
    <x v="32"/>
    <x v="128"/>
    <x v="0"/>
    <x v="0"/>
  </r>
  <r>
    <x v="2"/>
    <x v="44"/>
    <x v="4"/>
    <x v="3"/>
    <x v="3"/>
    <x v="1"/>
    <x v="0"/>
    <x v="25"/>
    <x v="173"/>
    <x v="0"/>
    <x v="0"/>
  </r>
  <r>
    <x v="2"/>
    <x v="45"/>
    <x v="4"/>
    <x v="9"/>
    <x v="9"/>
    <x v="1"/>
    <x v="0"/>
    <x v="5"/>
    <x v="184"/>
    <x v="0"/>
    <x v="0"/>
  </r>
  <r>
    <x v="2"/>
    <x v="46"/>
    <x v="4"/>
    <x v="11"/>
    <x v="11"/>
    <x v="1"/>
    <x v="0"/>
    <x v="1"/>
    <x v="174"/>
    <x v="0"/>
    <x v="0"/>
  </r>
  <r>
    <x v="2"/>
    <x v="47"/>
    <x v="4"/>
    <x v="6"/>
    <x v="6"/>
    <x v="8"/>
    <x v="7"/>
    <x v="16"/>
    <x v="202"/>
    <x v="0"/>
    <x v="0"/>
  </r>
  <r>
    <x v="2"/>
    <x v="48"/>
    <x v="5"/>
    <x v="9"/>
    <x v="9"/>
    <x v="1"/>
    <x v="0"/>
    <x v="14"/>
    <x v="292"/>
    <x v="0"/>
    <x v="0"/>
  </r>
  <r>
    <x v="2"/>
    <x v="49"/>
    <x v="5"/>
    <x v="8"/>
    <x v="8"/>
    <x v="1"/>
    <x v="0"/>
    <x v="22"/>
    <x v="304"/>
    <x v="0"/>
    <x v="0"/>
  </r>
  <r>
    <x v="3"/>
    <x v="50"/>
    <x v="0"/>
    <x v="8"/>
    <x v="8"/>
    <x v="4"/>
    <x v="3"/>
    <x v="15"/>
    <x v="267"/>
    <x v="0"/>
    <x v="0"/>
  </r>
  <r>
    <x v="3"/>
    <x v="51"/>
    <x v="0"/>
    <x v="8"/>
    <x v="8"/>
    <x v="7"/>
    <x v="6"/>
    <x v="2"/>
    <x v="89"/>
    <x v="0"/>
    <x v="0"/>
  </r>
  <r>
    <x v="3"/>
    <x v="52"/>
    <x v="1"/>
    <x v="3"/>
    <x v="3"/>
    <x v="8"/>
    <x v="7"/>
    <x v="3"/>
    <x v="27"/>
    <x v="0"/>
    <x v="0"/>
  </r>
  <r>
    <x v="3"/>
    <x v="53"/>
    <x v="2"/>
    <x v="7"/>
    <x v="7"/>
    <x v="1"/>
    <x v="0"/>
    <x v="11"/>
    <x v="181"/>
    <x v="0"/>
    <x v="0"/>
  </r>
  <r>
    <x v="3"/>
    <x v="54"/>
    <x v="2"/>
    <x v="11"/>
    <x v="11"/>
    <x v="1"/>
    <x v="0"/>
    <x v="9"/>
    <x v="306"/>
    <x v="0"/>
    <x v="0"/>
  </r>
  <r>
    <x v="3"/>
    <x v="55"/>
    <x v="3"/>
    <x v="5"/>
    <x v="5"/>
    <x v="0"/>
    <x v="9"/>
    <x v="9"/>
    <x v="89"/>
    <x v="0"/>
    <x v="0"/>
  </r>
  <r>
    <x v="3"/>
    <x v="56"/>
    <x v="3"/>
    <x v="11"/>
    <x v="11"/>
    <x v="1"/>
    <x v="0"/>
    <x v="0"/>
    <x v="142"/>
    <x v="0"/>
    <x v="0"/>
  </r>
  <r>
    <x v="3"/>
    <x v="57"/>
    <x v="3"/>
    <x v="6"/>
    <x v="6"/>
    <x v="1"/>
    <x v="0"/>
    <x v="11"/>
    <x v="153"/>
    <x v="0"/>
    <x v="0"/>
  </r>
  <r>
    <x v="3"/>
    <x v="58"/>
    <x v="4"/>
    <x v="5"/>
    <x v="5"/>
    <x v="1"/>
    <x v="0"/>
    <x v="3"/>
    <x v="43"/>
    <x v="0"/>
    <x v="0"/>
  </r>
  <r>
    <x v="3"/>
    <x v="59"/>
    <x v="4"/>
    <x v="7"/>
    <x v="7"/>
    <x v="4"/>
    <x v="3"/>
    <x v="27"/>
    <x v="297"/>
    <x v="0"/>
    <x v="0"/>
  </r>
  <r>
    <x v="3"/>
    <x v="60"/>
    <x v="4"/>
    <x v="7"/>
    <x v="7"/>
    <x v="1"/>
    <x v="0"/>
    <x v="19"/>
    <x v="257"/>
    <x v="0"/>
    <x v="0"/>
  </r>
  <r>
    <x v="3"/>
    <x v="61"/>
    <x v="5"/>
    <x v="5"/>
    <x v="5"/>
    <x v="3"/>
    <x v="2"/>
    <x v="6"/>
    <x v="64"/>
    <x v="0"/>
    <x v="0"/>
  </r>
  <r>
    <x v="3"/>
    <x v="62"/>
    <x v="5"/>
    <x v="4"/>
    <x v="4"/>
    <x v="1"/>
    <x v="0"/>
    <x v="27"/>
    <x v="204"/>
    <x v="0"/>
    <x v="0"/>
  </r>
  <r>
    <x v="4"/>
    <x v="63"/>
    <x v="0"/>
    <x v="11"/>
    <x v="11"/>
    <x v="3"/>
    <x v="2"/>
    <x v="1"/>
    <x v="174"/>
    <x v="0"/>
    <x v="0"/>
  </r>
  <r>
    <x v="4"/>
    <x v="64"/>
    <x v="0"/>
    <x v="6"/>
    <x v="6"/>
    <x v="1"/>
    <x v="0"/>
    <x v="27"/>
    <x v="277"/>
    <x v="0"/>
    <x v="0"/>
  </r>
  <r>
    <x v="4"/>
    <x v="65"/>
    <x v="0"/>
    <x v="6"/>
    <x v="6"/>
    <x v="1"/>
    <x v="0"/>
    <x v="18"/>
    <x v="218"/>
    <x v="0"/>
    <x v="0"/>
  </r>
  <r>
    <x v="4"/>
    <x v="66"/>
    <x v="0"/>
    <x v="10"/>
    <x v="10"/>
    <x v="1"/>
    <x v="0"/>
    <x v="0"/>
    <x v="105"/>
    <x v="0"/>
    <x v="0"/>
  </r>
  <r>
    <x v="4"/>
    <x v="67"/>
    <x v="1"/>
    <x v="5"/>
    <x v="5"/>
    <x v="4"/>
    <x v="3"/>
    <x v="40"/>
    <x v="284"/>
    <x v="0"/>
    <x v="0"/>
  </r>
  <r>
    <x v="4"/>
    <x v="68"/>
    <x v="1"/>
    <x v="8"/>
    <x v="8"/>
    <x v="1"/>
    <x v="0"/>
    <x v="19"/>
    <x v="291"/>
    <x v="0"/>
    <x v="0"/>
  </r>
  <r>
    <x v="4"/>
    <x v="69"/>
    <x v="2"/>
    <x v="7"/>
    <x v="7"/>
    <x v="1"/>
    <x v="0"/>
    <x v="16"/>
    <x v="232"/>
    <x v="0"/>
    <x v="0"/>
  </r>
  <r>
    <x v="4"/>
    <x v="70"/>
    <x v="2"/>
    <x v="1"/>
    <x v="1"/>
    <x v="1"/>
    <x v="0"/>
    <x v="21"/>
    <x v="80"/>
    <x v="0"/>
    <x v="0"/>
  </r>
  <r>
    <x v="4"/>
    <x v="71"/>
    <x v="3"/>
    <x v="7"/>
    <x v="7"/>
    <x v="4"/>
    <x v="3"/>
    <x v="27"/>
    <x v="297"/>
    <x v="0"/>
    <x v="0"/>
  </r>
  <r>
    <x v="4"/>
    <x v="72"/>
    <x v="4"/>
    <x v="9"/>
    <x v="9"/>
    <x v="1"/>
    <x v="0"/>
    <x v="7"/>
    <x v="216"/>
    <x v="0"/>
    <x v="0"/>
  </r>
  <r>
    <x v="4"/>
    <x v="73"/>
    <x v="4"/>
    <x v="3"/>
    <x v="3"/>
    <x v="1"/>
    <x v="0"/>
    <x v="16"/>
    <x v="114"/>
    <x v="0"/>
    <x v="0"/>
  </r>
  <r>
    <x v="4"/>
    <x v="74"/>
    <x v="4"/>
    <x v="3"/>
    <x v="3"/>
    <x v="3"/>
    <x v="2"/>
    <x v="13"/>
    <x v="93"/>
    <x v="0"/>
    <x v="0"/>
  </r>
  <r>
    <x v="4"/>
    <x v="75"/>
    <x v="5"/>
    <x v="4"/>
    <x v="4"/>
    <x v="4"/>
    <x v="3"/>
    <x v="3"/>
    <x v="34"/>
    <x v="0"/>
    <x v="0"/>
  </r>
  <r>
    <x v="5"/>
    <x v="76"/>
    <x v="0"/>
    <x v="8"/>
    <x v="8"/>
    <x v="6"/>
    <x v="5"/>
    <x v="26"/>
    <x v="311"/>
    <x v="0"/>
    <x v="0"/>
  </r>
  <r>
    <x v="5"/>
    <x v="77"/>
    <x v="1"/>
    <x v="7"/>
    <x v="7"/>
    <x v="7"/>
    <x v="6"/>
    <x v="25"/>
    <x v="290"/>
    <x v="0"/>
    <x v="0"/>
  </r>
  <r>
    <x v="5"/>
    <x v="78"/>
    <x v="1"/>
    <x v="10"/>
    <x v="10"/>
    <x v="1"/>
    <x v="0"/>
    <x v="5"/>
    <x v="222"/>
    <x v="0"/>
    <x v="0"/>
  </r>
  <r>
    <x v="5"/>
    <x v="79"/>
    <x v="1"/>
    <x v="1"/>
    <x v="1"/>
    <x v="7"/>
    <x v="6"/>
    <x v="24"/>
    <x v="94"/>
    <x v="0"/>
    <x v="0"/>
  </r>
  <r>
    <x v="5"/>
    <x v="80"/>
    <x v="1"/>
    <x v="3"/>
    <x v="3"/>
    <x v="1"/>
    <x v="0"/>
    <x v="14"/>
    <x v="99"/>
    <x v="0"/>
    <x v="0"/>
  </r>
  <r>
    <x v="5"/>
    <x v="81"/>
    <x v="2"/>
    <x v="9"/>
    <x v="9"/>
    <x v="1"/>
    <x v="0"/>
    <x v="0"/>
    <x v="77"/>
    <x v="0"/>
    <x v="0"/>
  </r>
  <r>
    <x v="5"/>
    <x v="82"/>
    <x v="2"/>
    <x v="1"/>
    <x v="1"/>
    <x v="1"/>
    <x v="0"/>
    <x v="5"/>
    <x v="16"/>
    <x v="0"/>
    <x v="0"/>
  </r>
  <r>
    <x v="5"/>
    <x v="83"/>
    <x v="2"/>
    <x v="11"/>
    <x v="11"/>
    <x v="1"/>
    <x v="0"/>
    <x v="0"/>
    <x v="142"/>
    <x v="0"/>
    <x v="0"/>
  </r>
  <r>
    <x v="5"/>
    <x v="84"/>
    <x v="2"/>
    <x v="5"/>
    <x v="5"/>
    <x v="1"/>
    <x v="0"/>
    <x v="11"/>
    <x v="110"/>
    <x v="0"/>
    <x v="0"/>
  </r>
  <r>
    <x v="5"/>
    <x v="85"/>
    <x v="3"/>
    <x v="10"/>
    <x v="10"/>
    <x v="1"/>
    <x v="0"/>
    <x v="11"/>
    <x v="296"/>
    <x v="0"/>
    <x v="0"/>
  </r>
  <r>
    <x v="5"/>
    <x v="86"/>
    <x v="4"/>
    <x v="1"/>
    <x v="1"/>
    <x v="3"/>
    <x v="2"/>
    <x v="6"/>
    <x v="19"/>
    <x v="0"/>
    <x v="0"/>
  </r>
  <r>
    <x v="5"/>
    <x v="87"/>
    <x v="4"/>
    <x v="10"/>
    <x v="10"/>
    <x v="1"/>
    <x v="0"/>
    <x v="14"/>
    <x v="309"/>
    <x v="0"/>
    <x v="0"/>
  </r>
  <r>
    <x v="5"/>
    <x v="88"/>
    <x v="4"/>
    <x v="10"/>
    <x v="10"/>
    <x v="1"/>
    <x v="0"/>
    <x v="5"/>
    <x v="222"/>
    <x v="0"/>
    <x v="0"/>
  </r>
  <r>
    <x v="5"/>
    <x v="89"/>
    <x v="5"/>
    <x v="7"/>
    <x v="7"/>
    <x v="2"/>
    <x v="1"/>
    <x v="0"/>
    <x v="40"/>
    <x v="0"/>
    <x v="0"/>
  </r>
  <r>
    <x v="5"/>
    <x v="90"/>
    <x v="5"/>
    <x v="4"/>
    <x v="4"/>
    <x v="1"/>
    <x v="0"/>
    <x v="36"/>
    <x v="249"/>
    <x v="0"/>
    <x v="0"/>
  </r>
  <r>
    <x v="6"/>
    <x v="91"/>
    <x v="0"/>
    <x v="6"/>
    <x v="6"/>
    <x v="9"/>
    <x v="8"/>
    <x v="17"/>
    <x v="209"/>
    <x v="0"/>
    <x v="1"/>
  </r>
  <r>
    <x v="6"/>
    <x v="92"/>
    <x v="1"/>
    <x v="0"/>
    <x v="0"/>
    <x v="1"/>
    <x v="0"/>
    <x v="1"/>
    <x v="1"/>
    <x v="0"/>
    <x v="1"/>
  </r>
  <r>
    <x v="6"/>
    <x v="93"/>
    <x v="1"/>
    <x v="9"/>
    <x v="9"/>
    <x v="7"/>
    <x v="6"/>
    <x v="6"/>
    <x v="201"/>
    <x v="0"/>
    <x v="1"/>
  </r>
  <r>
    <x v="6"/>
    <x v="94"/>
    <x v="1"/>
    <x v="5"/>
    <x v="5"/>
    <x v="0"/>
    <x v="9"/>
    <x v="21"/>
    <x v="189"/>
    <x v="0"/>
    <x v="1"/>
  </r>
  <r>
    <x v="6"/>
    <x v="95"/>
    <x v="1"/>
    <x v="2"/>
    <x v="2"/>
    <x v="2"/>
    <x v="1"/>
    <x v="43"/>
    <x v="204"/>
    <x v="0"/>
    <x v="1"/>
  </r>
  <r>
    <x v="6"/>
    <x v="96"/>
    <x v="1"/>
    <x v="4"/>
    <x v="4"/>
    <x v="0"/>
    <x v="9"/>
    <x v="2"/>
    <x v="25"/>
    <x v="0"/>
    <x v="1"/>
  </r>
  <r>
    <x v="6"/>
    <x v="97"/>
    <x v="2"/>
    <x v="9"/>
    <x v="9"/>
    <x v="9"/>
    <x v="8"/>
    <x v="7"/>
    <x v="216"/>
    <x v="0"/>
    <x v="1"/>
  </r>
  <r>
    <x v="6"/>
    <x v="98"/>
    <x v="2"/>
    <x v="10"/>
    <x v="10"/>
    <x v="1"/>
    <x v="0"/>
    <x v="4"/>
    <x v="203"/>
    <x v="0"/>
    <x v="1"/>
  </r>
  <r>
    <x v="6"/>
    <x v="99"/>
    <x v="2"/>
    <x v="10"/>
    <x v="10"/>
    <x v="4"/>
    <x v="3"/>
    <x v="9"/>
    <x v="281"/>
    <x v="0"/>
    <x v="1"/>
  </r>
  <r>
    <x v="6"/>
    <x v="100"/>
    <x v="2"/>
    <x v="6"/>
    <x v="6"/>
    <x v="0"/>
    <x v="9"/>
    <x v="1"/>
    <x v="43"/>
    <x v="0"/>
    <x v="1"/>
  </r>
  <r>
    <x v="6"/>
    <x v="101"/>
    <x v="2"/>
    <x v="2"/>
    <x v="2"/>
    <x v="9"/>
    <x v="8"/>
    <x v="54"/>
    <x v="242"/>
    <x v="0"/>
    <x v="1"/>
  </r>
  <r>
    <x v="6"/>
    <x v="102"/>
    <x v="3"/>
    <x v="1"/>
    <x v="1"/>
    <x v="2"/>
    <x v="1"/>
    <x v="33"/>
    <x v="136"/>
    <x v="0"/>
    <x v="1"/>
  </r>
  <r>
    <x v="6"/>
    <x v="103"/>
    <x v="3"/>
    <x v="6"/>
    <x v="6"/>
    <x v="4"/>
    <x v="3"/>
    <x v="29"/>
    <x v="285"/>
    <x v="0"/>
    <x v="1"/>
  </r>
  <r>
    <x v="6"/>
    <x v="104"/>
    <x v="4"/>
    <x v="3"/>
    <x v="3"/>
    <x v="1"/>
    <x v="0"/>
    <x v="4"/>
    <x v="35"/>
    <x v="0"/>
    <x v="1"/>
  </r>
  <r>
    <x v="6"/>
    <x v="105"/>
    <x v="4"/>
    <x v="9"/>
    <x v="9"/>
    <x v="5"/>
    <x v="4"/>
    <x v="16"/>
    <x v="301"/>
    <x v="0"/>
    <x v="1"/>
  </r>
  <r>
    <x v="6"/>
    <x v="106"/>
    <x v="5"/>
    <x v="11"/>
    <x v="11"/>
    <x v="7"/>
    <x v="6"/>
    <x v="9"/>
    <x v="306"/>
    <x v="0"/>
    <x v="1"/>
  </r>
  <r>
    <x v="7"/>
    <x v="107"/>
    <x v="0"/>
    <x v="0"/>
    <x v="0"/>
    <x v="3"/>
    <x v="2"/>
    <x v="25"/>
    <x v="67"/>
    <x v="0"/>
    <x v="1"/>
  </r>
  <r>
    <x v="7"/>
    <x v="108"/>
    <x v="0"/>
    <x v="1"/>
    <x v="1"/>
    <x v="1"/>
    <x v="0"/>
    <x v="10"/>
    <x v="37"/>
    <x v="0"/>
    <x v="1"/>
  </r>
  <r>
    <x v="7"/>
    <x v="109"/>
    <x v="0"/>
    <x v="6"/>
    <x v="6"/>
    <x v="1"/>
    <x v="0"/>
    <x v="21"/>
    <x v="240"/>
    <x v="0"/>
    <x v="1"/>
  </r>
  <r>
    <x v="7"/>
    <x v="110"/>
    <x v="1"/>
    <x v="4"/>
    <x v="4"/>
    <x v="1"/>
    <x v="0"/>
    <x v="20"/>
    <x v="160"/>
    <x v="0"/>
    <x v="1"/>
  </r>
  <r>
    <x v="7"/>
    <x v="111"/>
    <x v="1"/>
    <x v="4"/>
    <x v="4"/>
    <x v="2"/>
    <x v="1"/>
    <x v="37"/>
    <x v="252"/>
    <x v="0"/>
    <x v="1"/>
  </r>
  <r>
    <x v="7"/>
    <x v="112"/>
    <x v="2"/>
    <x v="2"/>
    <x v="2"/>
    <x v="3"/>
    <x v="2"/>
    <x v="12"/>
    <x v="57"/>
    <x v="0"/>
    <x v="1"/>
  </r>
  <r>
    <x v="7"/>
    <x v="113"/>
    <x v="2"/>
    <x v="1"/>
    <x v="1"/>
    <x v="1"/>
    <x v="0"/>
    <x v="28"/>
    <x v="112"/>
    <x v="0"/>
    <x v="1"/>
  </r>
  <r>
    <x v="7"/>
    <x v="114"/>
    <x v="2"/>
    <x v="6"/>
    <x v="6"/>
    <x v="8"/>
    <x v="7"/>
    <x v="2"/>
    <x v="50"/>
    <x v="0"/>
    <x v="1"/>
  </r>
  <r>
    <x v="7"/>
    <x v="115"/>
    <x v="3"/>
    <x v="3"/>
    <x v="3"/>
    <x v="1"/>
    <x v="0"/>
    <x v="12"/>
    <x v="86"/>
    <x v="0"/>
    <x v="1"/>
  </r>
  <r>
    <x v="7"/>
    <x v="116"/>
    <x v="3"/>
    <x v="7"/>
    <x v="7"/>
    <x v="1"/>
    <x v="0"/>
    <x v="12"/>
    <x v="194"/>
    <x v="0"/>
    <x v="1"/>
  </r>
  <r>
    <x v="7"/>
    <x v="117"/>
    <x v="3"/>
    <x v="5"/>
    <x v="5"/>
    <x v="1"/>
    <x v="0"/>
    <x v="2"/>
    <x v="32"/>
    <x v="0"/>
    <x v="1"/>
  </r>
  <r>
    <x v="7"/>
    <x v="118"/>
    <x v="3"/>
    <x v="10"/>
    <x v="10"/>
    <x v="9"/>
    <x v="8"/>
    <x v="1"/>
    <x v="132"/>
    <x v="0"/>
    <x v="1"/>
  </r>
  <r>
    <x v="7"/>
    <x v="119"/>
    <x v="4"/>
    <x v="2"/>
    <x v="2"/>
    <x v="1"/>
    <x v="0"/>
    <x v="36"/>
    <x v="175"/>
    <x v="0"/>
    <x v="1"/>
  </r>
  <r>
    <x v="7"/>
    <x v="120"/>
    <x v="4"/>
    <x v="6"/>
    <x v="6"/>
    <x v="7"/>
    <x v="6"/>
    <x v="4"/>
    <x v="73"/>
    <x v="0"/>
    <x v="1"/>
  </r>
  <r>
    <x v="7"/>
    <x v="121"/>
    <x v="4"/>
    <x v="3"/>
    <x v="3"/>
    <x v="9"/>
    <x v="8"/>
    <x v="42"/>
    <x v="254"/>
    <x v="0"/>
    <x v="1"/>
  </r>
  <r>
    <x v="7"/>
    <x v="122"/>
    <x v="4"/>
    <x v="10"/>
    <x v="10"/>
    <x v="5"/>
    <x v="4"/>
    <x v="14"/>
    <x v="309"/>
    <x v="0"/>
    <x v="1"/>
  </r>
  <r>
    <x v="7"/>
    <x v="123"/>
    <x v="5"/>
    <x v="2"/>
    <x v="2"/>
    <x v="3"/>
    <x v="2"/>
    <x v="47"/>
    <x v="218"/>
    <x v="0"/>
    <x v="1"/>
  </r>
  <r>
    <x v="8"/>
    <x v="124"/>
    <x v="0"/>
    <x v="7"/>
    <x v="7"/>
    <x v="1"/>
    <x v="0"/>
    <x v="28"/>
    <x v="300"/>
    <x v="0"/>
    <x v="1"/>
  </r>
  <r>
    <x v="8"/>
    <x v="125"/>
    <x v="0"/>
    <x v="5"/>
    <x v="5"/>
    <x v="0"/>
    <x v="9"/>
    <x v="2"/>
    <x v="32"/>
    <x v="0"/>
    <x v="1"/>
  </r>
  <r>
    <x v="8"/>
    <x v="126"/>
    <x v="0"/>
    <x v="5"/>
    <x v="5"/>
    <x v="9"/>
    <x v="8"/>
    <x v="12"/>
    <x v="117"/>
    <x v="0"/>
    <x v="1"/>
  </r>
  <r>
    <x v="8"/>
    <x v="127"/>
    <x v="0"/>
    <x v="1"/>
    <x v="1"/>
    <x v="1"/>
    <x v="0"/>
    <x v="29"/>
    <x v="117"/>
    <x v="0"/>
    <x v="1"/>
  </r>
  <r>
    <x v="8"/>
    <x v="128"/>
    <x v="0"/>
    <x v="11"/>
    <x v="11"/>
    <x v="1"/>
    <x v="0"/>
    <x v="3"/>
    <x v="226"/>
    <x v="0"/>
    <x v="1"/>
  </r>
  <r>
    <x v="8"/>
    <x v="129"/>
    <x v="1"/>
    <x v="4"/>
    <x v="4"/>
    <x v="3"/>
    <x v="2"/>
    <x v="4"/>
    <x v="42"/>
    <x v="0"/>
    <x v="1"/>
  </r>
  <r>
    <x v="8"/>
    <x v="130"/>
    <x v="1"/>
    <x v="2"/>
    <x v="2"/>
    <x v="1"/>
    <x v="0"/>
    <x v="54"/>
    <x v="242"/>
    <x v="0"/>
    <x v="1"/>
  </r>
  <r>
    <x v="8"/>
    <x v="131"/>
    <x v="1"/>
    <x v="1"/>
    <x v="1"/>
    <x v="1"/>
    <x v="0"/>
    <x v="17"/>
    <x v="64"/>
    <x v="0"/>
    <x v="1"/>
  </r>
  <r>
    <x v="8"/>
    <x v="132"/>
    <x v="1"/>
    <x v="5"/>
    <x v="5"/>
    <x v="1"/>
    <x v="0"/>
    <x v="27"/>
    <x v="226"/>
    <x v="0"/>
    <x v="1"/>
  </r>
  <r>
    <x v="8"/>
    <x v="133"/>
    <x v="1"/>
    <x v="7"/>
    <x v="7"/>
    <x v="1"/>
    <x v="0"/>
    <x v="15"/>
    <x v="223"/>
    <x v="0"/>
    <x v="1"/>
  </r>
  <r>
    <x v="8"/>
    <x v="134"/>
    <x v="2"/>
    <x v="3"/>
    <x v="3"/>
    <x v="1"/>
    <x v="0"/>
    <x v="23"/>
    <x v="161"/>
    <x v="0"/>
    <x v="1"/>
  </r>
  <r>
    <x v="8"/>
    <x v="135"/>
    <x v="3"/>
    <x v="2"/>
    <x v="2"/>
    <x v="9"/>
    <x v="8"/>
    <x v="12"/>
    <x v="57"/>
    <x v="0"/>
    <x v="1"/>
  </r>
  <r>
    <x v="8"/>
    <x v="136"/>
    <x v="3"/>
    <x v="3"/>
    <x v="3"/>
    <x v="1"/>
    <x v="0"/>
    <x v="2"/>
    <x v="20"/>
    <x v="0"/>
    <x v="1"/>
  </r>
  <r>
    <x v="8"/>
    <x v="137"/>
    <x v="3"/>
    <x v="6"/>
    <x v="6"/>
    <x v="5"/>
    <x v="4"/>
    <x v="11"/>
    <x v="153"/>
    <x v="0"/>
    <x v="1"/>
  </r>
  <r>
    <x v="8"/>
    <x v="138"/>
    <x v="4"/>
    <x v="7"/>
    <x v="7"/>
    <x v="1"/>
    <x v="0"/>
    <x v="24"/>
    <x v="287"/>
    <x v="0"/>
    <x v="1"/>
  </r>
  <r>
    <x v="8"/>
    <x v="139"/>
    <x v="4"/>
    <x v="9"/>
    <x v="9"/>
    <x v="3"/>
    <x v="2"/>
    <x v="15"/>
    <x v="298"/>
    <x v="0"/>
    <x v="1"/>
  </r>
  <r>
    <x v="8"/>
    <x v="140"/>
    <x v="4"/>
    <x v="2"/>
    <x v="2"/>
    <x v="0"/>
    <x v="9"/>
    <x v="48"/>
    <x v="221"/>
    <x v="0"/>
    <x v="1"/>
  </r>
  <r>
    <x v="8"/>
    <x v="141"/>
    <x v="4"/>
    <x v="2"/>
    <x v="2"/>
    <x v="2"/>
    <x v="1"/>
    <x v="25"/>
    <x v="123"/>
    <x v="0"/>
    <x v="1"/>
  </r>
  <r>
    <x v="8"/>
    <x v="142"/>
    <x v="5"/>
    <x v="10"/>
    <x v="10"/>
    <x v="1"/>
    <x v="0"/>
    <x v="15"/>
    <x v="312"/>
    <x v="0"/>
    <x v="1"/>
  </r>
  <r>
    <x v="9"/>
    <x v="143"/>
    <x v="0"/>
    <x v="10"/>
    <x v="10"/>
    <x v="4"/>
    <x v="3"/>
    <x v="13"/>
    <x v="307"/>
    <x v="0"/>
    <x v="1"/>
  </r>
  <r>
    <x v="9"/>
    <x v="144"/>
    <x v="0"/>
    <x v="9"/>
    <x v="9"/>
    <x v="9"/>
    <x v="8"/>
    <x v="4"/>
    <x v="166"/>
    <x v="0"/>
    <x v="1"/>
  </r>
  <r>
    <x v="9"/>
    <x v="145"/>
    <x v="0"/>
    <x v="2"/>
    <x v="2"/>
    <x v="1"/>
    <x v="0"/>
    <x v="36"/>
    <x v="175"/>
    <x v="0"/>
    <x v="1"/>
  </r>
  <r>
    <x v="9"/>
    <x v="146"/>
    <x v="0"/>
    <x v="2"/>
    <x v="2"/>
    <x v="7"/>
    <x v="6"/>
    <x v="36"/>
    <x v="175"/>
    <x v="0"/>
    <x v="1"/>
  </r>
  <r>
    <x v="9"/>
    <x v="147"/>
    <x v="0"/>
    <x v="11"/>
    <x v="11"/>
    <x v="3"/>
    <x v="2"/>
    <x v="5"/>
    <x v="267"/>
    <x v="0"/>
    <x v="1"/>
  </r>
  <r>
    <x v="9"/>
    <x v="148"/>
    <x v="0"/>
    <x v="9"/>
    <x v="9"/>
    <x v="3"/>
    <x v="2"/>
    <x v="13"/>
    <x v="286"/>
    <x v="0"/>
    <x v="1"/>
  </r>
  <r>
    <x v="9"/>
    <x v="149"/>
    <x v="1"/>
    <x v="4"/>
    <x v="4"/>
    <x v="5"/>
    <x v="4"/>
    <x v="12"/>
    <x v="98"/>
    <x v="0"/>
    <x v="1"/>
  </r>
  <r>
    <x v="9"/>
    <x v="150"/>
    <x v="1"/>
    <x v="7"/>
    <x v="7"/>
    <x v="1"/>
    <x v="0"/>
    <x v="7"/>
    <x v="134"/>
    <x v="0"/>
    <x v="1"/>
  </r>
  <r>
    <x v="9"/>
    <x v="151"/>
    <x v="1"/>
    <x v="7"/>
    <x v="7"/>
    <x v="1"/>
    <x v="0"/>
    <x v="12"/>
    <x v="194"/>
    <x v="0"/>
    <x v="1"/>
  </r>
  <r>
    <x v="9"/>
    <x v="152"/>
    <x v="2"/>
    <x v="4"/>
    <x v="4"/>
    <x v="4"/>
    <x v="3"/>
    <x v="23"/>
    <x v="178"/>
    <x v="0"/>
    <x v="1"/>
  </r>
  <r>
    <x v="9"/>
    <x v="153"/>
    <x v="2"/>
    <x v="11"/>
    <x v="11"/>
    <x v="1"/>
    <x v="0"/>
    <x v="5"/>
    <x v="267"/>
    <x v="0"/>
    <x v="1"/>
  </r>
  <r>
    <x v="9"/>
    <x v="154"/>
    <x v="2"/>
    <x v="2"/>
    <x v="2"/>
    <x v="1"/>
    <x v="0"/>
    <x v="47"/>
    <x v="218"/>
    <x v="0"/>
    <x v="1"/>
  </r>
  <r>
    <x v="9"/>
    <x v="155"/>
    <x v="2"/>
    <x v="7"/>
    <x v="7"/>
    <x v="5"/>
    <x v="4"/>
    <x v="1"/>
    <x v="52"/>
    <x v="0"/>
    <x v="1"/>
  </r>
  <r>
    <x v="9"/>
    <x v="156"/>
    <x v="2"/>
    <x v="5"/>
    <x v="5"/>
    <x v="3"/>
    <x v="2"/>
    <x v="5"/>
    <x v="56"/>
    <x v="0"/>
    <x v="1"/>
  </r>
  <r>
    <x v="9"/>
    <x v="157"/>
    <x v="3"/>
    <x v="3"/>
    <x v="3"/>
    <x v="1"/>
    <x v="0"/>
    <x v="12"/>
    <x v="86"/>
    <x v="0"/>
    <x v="1"/>
  </r>
  <r>
    <x v="9"/>
    <x v="158"/>
    <x v="3"/>
    <x v="6"/>
    <x v="6"/>
    <x v="0"/>
    <x v="9"/>
    <x v="20"/>
    <x v="233"/>
    <x v="0"/>
    <x v="1"/>
  </r>
  <r>
    <x v="9"/>
    <x v="159"/>
    <x v="3"/>
    <x v="3"/>
    <x v="3"/>
    <x v="1"/>
    <x v="0"/>
    <x v="9"/>
    <x v="66"/>
    <x v="0"/>
    <x v="1"/>
  </r>
  <r>
    <x v="9"/>
    <x v="160"/>
    <x v="4"/>
    <x v="3"/>
    <x v="3"/>
    <x v="4"/>
    <x v="3"/>
    <x v="37"/>
    <x v="234"/>
    <x v="0"/>
    <x v="1"/>
  </r>
  <r>
    <x v="9"/>
    <x v="161"/>
    <x v="4"/>
    <x v="8"/>
    <x v="8"/>
    <x v="1"/>
    <x v="0"/>
    <x v="25"/>
    <x v="310"/>
    <x v="0"/>
    <x v="1"/>
  </r>
  <r>
    <x v="9"/>
    <x v="162"/>
    <x v="5"/>
    <x v="10"/>
    <x v="10"/>
    <x v="1"/>
    <x v="0"/>
    <x v="5"/>
    <x v="222"/>
    <x v="0"/>
    <x v="1"/>
  </r>
  <r>
    <x v="9"/>
    <x v="163"/>
    <x v="5"/>
    <x v="1"/>
    <x v="1"/>
    <x v="1"/>
    <x v="0"/>
    <x v="0"/>
    <x v="2"/>
    <x v="0"/>
    <x v="1"/>
  </r>
  <r>
    <x v="9"/>
    <x v="164"/>
    <x v="5"/>
    <x v="1"/>
    <x v="1"/>
    <x v="7"/>
    <x v="6"/>
    <x v="26"/>
    <x v="103"/>
    <x v="0"/>
    <x v="1"/>
  </r>
  <r>
    <x v="10"/>
    <x v="165"/>
    <x v="0"/>
    <x v="6"/>
    <x v="6"/>
    <x v="1"/>
    <x v="0"/>
    <x v="15"/>
    <x v="193"/>
    <x v="0"/>
    <x v="1"/>
  </r>
  <r>
    <x v="10"/>
    <x v="166"/>
    <x v="0"/>
    <x v="11"/>
    <x v="11"/>
    <x v="3"/>
    <x v="2"/>
    <x v="2"/>
    <x v="202"/>
    <x v="0"/>
    <x v="1"/>
  </r>
  <r>
    <x v="10"/>
    <x v="167"/>
    <x v="1"/>
    <x v="0"/>
    <x v="0"/>
    <x v="9"/>
    <x v="8"/>
    <x v="3"/>
    <x v="4"/>
    <x v="0"/>
    <x v="1"/>
  </r>
  <r>
    <x v="10"/>
    <x v="168"/>
    <x v="1"/>
    <x v="11"/>
    <x v="11"/>
    <x v="9"/>
    <x v="8"/>
    <x v="7"/>
    <x v="291"/>
    <x v="0"/>
    <x v="1"/>
  </r>
  <r>
    <x v="10"/>
    <x v="169"/>
    <x v="2"/>
    <x v="0"/>
    <x v="0"/>
    <x v="5"/>
    <x v="4"/>
    <x v="7"/>
    <x v="12"/>
    <x v="0"/>
    <x v="1"/>
  </r>
  <r>
    <x v="10"/>
    <x v="170"/>
    <x v="2"/>
    <x v="7"/>
    <x v="7"/>
    <x v="1"/>
    <x v="0"/>
    <x v="20"/>
    <x v="265"/>
    <x v="0"/>
    <x v="1"/>
  </r>
  <r>
    <x v="10"/>
    <x v="171"/>
    <x v="2"/>
    <x v="6"/>
    <x v="6"/>
    <x v="6"/>
    <x v="5"/>
    <x v="24"/>
    <x v="262"/>
    <x v="0"/>
    <x v="1"/>
  </r>
  <r>
    <x v="10"/>
    <x v="172"/>
    <x v="2"/>
    <x v="7"/>
    <x v="7"/>
    <x v="1"/>
    <x v="0"/>
    <x v="29"/>
    <x v="303"/>
    <x v="0"/>
    <x v="1"/>
  </r>
  <r>
    <x v="10"/>
    <x v="173"/>
    <x v="3"/>
    <x v="5"/>
    <x v="5"/>
    <x v="1"/>
    <x v="0"/>
    <x v="43"/>
    <x v="291"/>
    <x v="0"/>
    <x v="1"/>
  </r>
  <r>
    <x v="10"/>
    <x v="174"/>
    <x v="3"/>
    <x v="5"/>
    <x v="5"/>
    <x v="1"/>
    <x v="0"/>
    <x v="18"/>
    <x v="167"/>
    <x v="0"/>
    <x v="1"/>
  </r>
  <r>
    <x v="10"/>
    <x v="175"/>
    <x v="3"/>
    <x v="10"/>
    <x v="10"/>
    <x v="0"/>
    <x v="9"/>
    <x v="0"/>
    <x v="105"/>
    <x v="0"/>
    <x v="1"/>
  </r>
  <r>
    <x v="10"/>
    <x v="176"/>
    <x v="3"/>
    <x v="4"/>
    <x v="4"/>
    <x v="1"/>
    <x v="0"/>
    <x v="26"/>
    <x v="197"/>
    <x v="0"/>
    <x v="1"/>
  </r>
  <r>
    <x v="10"/>
    <x v="177"/>
    <x v="4"/>
    <x v="8"/>
    <x v="8"/>
    <x v="1"/>
    <x v="0"/>
    <x v="7"/>
    <x v="174"/>
    <x v="0"/>
    <x v="1"/>
  </r>
  <r>
    <x v="10"/>
    <x v="178"/>
    <x v="4"/>
    <x v="9"/>
    <x v="9"/>
    <x v="1"/>
    <x v="0"/>
    <x v="3"/>
    <x v="145"/>
    <x v="0"/>
    <x v="1"/>
  </r>
  <r>
    <x v="10"/>
    <x v="179"/>
    <x v="4"/>
    <x v="3"/>
    <x v="3"/>
    <x v="5"/>
    <x v="4"/>
    <x v="38"/>
    <x v="237"/>
    <x v="0"/>
    <x v="1"/>
  </r>
  <r>
    <x v="10"/>
    <x v="180"/>
    <x v="4"/>
    <x v="1"/>
    <x v="1"/>
    <x v="1"/>
    <x v="0"/>
    <x v="21"/>
    <x v="80"/>
    <x v="0"/>
    <x v="1"/>
  </r>
  <r>
    <x v="10"/>
    <x v="181"/>
    <x v="5"/>
    <x v="2"/>
    <x v="2"/>
    <x v="6"/>
    <x v="5"/>
    <x v="0"/>
    <x v="3"/>
    <x v="0"/>
    <x v="1"/>
  </r>
  <r>
    <x v="10"/>
    <x v="182"/>
    <x v="5"/>
    <x v="9"/>
    <x v="9"/>
    <x v="1"/>
    <x v="0"/>
    <x v="10"/>
    <x v="260"/>
    <x v="0"/>
    <x v="1"/>
  </r>
  <r>
    <x v="11"/>
    <x v="183"/>
    <x v="0"/>
    <x v="11"/>
    <x v="11"/>
    <x v="8"/>
    <x v="7"/>
    <x v="6"/>
    <x v="282"/>
    <x v="0"/>
    <x v="1"/>
  </r>
  <r>
    <x v="11"/>
    <x v="184"/>
    <x v="0"/>
    <x v="10"/>
    <x v="10"/>
    <x v="9"/>
    <x v="8"/>
    <x v="11"/>
    <x v="296"/>
    <x v="0"/>
    <x v="1"/>
  </r>
  <r>
    <x v="11"/>
    <x v="185"/>
    <x v="0"/>
    <x v="1"/>
    <x v="1"/>
    <x v="5"/>
    <x v="4"/>
    <x v="45"/>
    <x v="179"/>
    <x v="0"/>
    <x v="1"/>
  </r>
  <r>
    <x v="11"/>
    <x v="186"/>
    <x v="0"/>
    <x v="1"/>
    <x v="1"/>
    <x v="1"/>
    <x v="0"/>
    <x v="16"/>
    <x v="61"/>
    <x v="0"/>
    <x v="1"/>
  </r>
  <r>
    <x v="11"/>
    <x v="187"/>
    <x v="1"/>
    <x v="11"/>
    <x v="11"/>
    <x v="1"/>
    <x v="0"/>
    <x v="2"/>
    <x v="202"/>
    <x v="0"/>
    <x v="1"/>
  </r>
  <r>
    <x v="11"/>
    <x v="188"/>
    <x v="1"/>
    <x v="7"/>
    <x v="7"/>
    <x v="1"/>
    <x v="0"/>
    <x v="5"/>
    <x v="106"/>
    <x v="0"/>
    <x v="1"/>
  </r>
  <r>
    <x v="11"/>
    <x v="189"/>
    <x v="1"/>
    <x v="2"/>
    <x v="2"/>
    <x v="1"/>
    <x v="0"/>
    <x v="2"/>
    <x v="10"/>
    <x v="0"/>
    <x v="1"/>
  </r>
  <r>
    <x v="11"/>
    <x v="190"/>
    <x v="2"/>
    <x v="8"/>
    <x v="8"/>
    <x v="1"/>
    <x v="0"/>
    <x v="2"/>
    <x v="89"/>
    <x v="0"/>
    <x v="1"/>
  </r>
  <r>
    <x v="11"/>
    <x v="191"/>
    <x v="2"/>
    <x v="0"/>
    <x v="0"/>
    <x v="3"/>
    <x v="2"/>
    <x v="40"/>
    <x v="115"/>
    <x v="0"/>
    <x v="1"/>
  </r>
  <r>
    <x v="11"/>
    <x v="192"/>
    <x v="2"/>
    <x v="0"/>
    <x v="0"/>
    <x v="9"/>
    <x v="8"/>
    <x v="22"/>
    <x v="58"/>
    <x v="0"/>
    <x v="1"/>
  </r>
  <r>
    <x v="11"/>
    <x v="193"/>
    <x v="2"/>
    <x v="4"/>
    <x v="4"/>
    <x v="1"/>
    <x v="0"/>
    <x v="1"/>
    <x v="18"/>
    <x v="0"/>
    <x v="1"/>
  </r>
  <r>
    <x v="11"/>
    <x v="194"/>
    <x v="2"/>
    <x v="1"/>
    <x v="1"/>
    <x v="7"/>
    <x v="6"/>
    <x v="17"/>
    <x v="64"/>
    <x v="0"/>
    <x v="1"/>
  </r>
  <r>
    <x v="11"/>
    <x v="195"/>
    <x v="3"/>
    <x v="9"/>
    <x v="9"/>
    <x v="5"/>
    <x v="4"/>
    <x v="2"/>
    <x v="124"/>
    <x v="0"/>
    <x v="1"/>
  </r>
  <r>
    <x v="11"/>
    <x v="196"/>
    <x v="3"/>
    <x v="6"/>
    <x v="6"/>
    <x v="1"/>
    <x v="0"/>
    <x v="14"/>
    <x v="182"/>
    <x v="0"/>
    <x v="1"/>
  </r>
  <r>
    <x v="11"/>
    <x v="197"/>
    <x v="3"/>
    <x v="2"/>
    <x v="2"/>
    <x v="2"/>
    <x v="1"/>
    <x v="2"/>
    <x v="10"/>
    <x v="0"/>
    <x v="1"/>
  </r>
  <r>
    <x v="11"/>
    <x v="198"/>
    <x v="3"/>
    <x v="11"/>
    <x v="11"/>
    <x v="1"/>
    <x v="0"/>
    <x v="10"/>
    <x v="310"/>
    <x v="0"/>
    <x v="1"/>
  </r>
  <r>
    <x v="11"/>
    <x v="199"/>
    <x v="4"/>
    <x v="2"/>
    <x v="2"/>
    <x v="6"/>
    <x v="5"/>
    <x v="20"/>
    <x v="96"/>
    <x v="0"/>
    <x v="1"/>
  </r>
  <r>
    <x v="11"/>
    <x v="200"/>
    <x v="4"/>
    <x v="1"/>
    <x v="1"/>
    <x v="1"/>
    <x v="0"/>
    <x v="19"/>
    <x v="73"/>
    <x v="0"/>
    <x v="1"/>
  </r>
  <r>
    <x v="11"/>
    <x v="201"/>
    <x v="4"/>
    <x v="10"/>
    <x v="10"/>
    <x v="2"/>
    <x v="1"/>
    <x v="2"/>
    <x v="157"/>
    <x v="0"/>
    <x v="1"/>
  </r>
  <r>
    <x v="11"/>
    <x v="202"/>
    <x v="5"/>
    <x v="0"/>
    <x v="0"/>
    <x v="1"/>
    <x v="0"/>
    <x v="55"/>
    <x v="162"/>
    <x v="0"/>
    <x v="1"/>
  </r>
  <r>
    <x v="11"/>
    <x v="203"/>
    <x v="5"/>
    <x v="7"/>
    <x v="7"/>
    <x v="1"/>
    <x v="0"/>
    <x v="20"/>
    <x v="265"/>
    <x v="0"/>
    <x v="1"/>
  </r>
  <r>
    <x v="12"/>
    <x v="204"/>
    <x v="0"/>
    <x v="1"/>
    <x v="1"/>
    <x v="9"/>
    <x v="8"/>
    <x v="12"/>
    <x v="45"/>
    <x v="0"/>
    <x v="2"/>
  </r>
  <r>
    <x v="12"/>
    <x v="205"/>
    <x v="0"/>
    <x v="6"/>
    <x v="6"/>
    <x v="1"/>
    <x v="0"/>
    <x v="17"/>
    <x v="209"/>
    <x v="0"/>
    <x v="2"/>
  </r>
  <r>
    <x v="12"/>
    <x v="206"/>
    <x v="0"/>
    <x v="1"/>
    <x v="1"/>
    <x v="1"/>
    <x v="0"/>
    <x v="16"/>
    <x v="61"/>
    <x v="0"/>
    <x v="2"/>
  </r>
  <r>
    <x v="12"/>
    <x v="207"/>
    <x v="0"/>
    <x v="6"/>
    <x v="6"/>
    <x v="1"/>
    <x v="0"/>
    <x v="10"/>
    <x v="142"/>
    <x v="0"/>
    <x v="2"/>
  </r>
  <r>
    <x v="12"/>
    <x v="208"/>
    <x v="0"/>
    <x v="10"/>
    <x v="10"/>
    <x v="2"/>
    <x v="1"/>
    <x v="4"/>
    <x v="203"/>
    <x v="0"/>
    <x v="2"/>
  </r>
  <r>
    <x v="12"/>
    <x v="209"/>
    <x v="1"/>
    <x v="5"/>
    <x v="5"/>
    <x v="9"/>
    <x v="8"/>
    <x v="2"/>
    <x v="32"/>
    <x v="0"/>
    <x v="2"/>
  </r>
  <r>
    <x v="12"/>
    <x v="210"/>
    <x v="1"/>
    <x v="0"/>
    <x v="0"/>
    <x v="1"/>
    <x v="0"/>
    <x v="34"/>
    <x v="94"/>
    <x v="0"/>
    <x v="2"/>
  </r>
  <r>
    <x v="12"/>
    <x v="211"/>
    <x v="1"/>
    <x v="1"/>
    <x v="1"/>
    <x v="1"/>
    <x v="0"/>
    <x v="12"/>
    <x v="45"/>
    <x v="0"/>
    <x v="2"/>
  </r>
  <r>
    <x v="12"/>
    <x v="212"/>
    <x v="2"/>
    <x v="6"/>
    <x v="6"/>
    <x v="1"/>
    <x v="0"/>
    <x v="19"/>
    <x v="226"/>
    <x v="0"/>
    <x v="2"/>
  </r>
  <r>
    <x v="12"/>
    <x v="213"/>
    <x v="3"/>
    <x v="3"/>
    <x v="3"/>
    <x v="9"/>
    <x v="8"/>
    <x v="10"/>
    <x v="72"/>
    <x v="0"/>
    <x v="2"/>
  </r>
  <r>
    <x v="12"/>
    <x v="214"/>
    <x v="3"/>
    <x v="7"/>
    <x v="7"/>
    <x v="1"/>
    <x v="0"/>
    <x v="14"/>
    <x v="212"/>
    <x v="0"/>
    <x v="2"/>
  </r>
  <r>
    <x v="12"/>
    <x v="215"/>
    <x v="4"/>
    <x v="6"/>
    <x v="6"/>
    <x v="1"/>
    <x v="0"/>
    <x v="15"/>
    <x v="193"/>
    <x v="0"/>
    <x v="2"/>
  </r>
  <r>
    <x v="12"/>
    <x v="216"/>
    <x v="4"/>
    <x v="7"/>
    <x v="7"/>
    <x v="1"/>
    <x v="0"/>
    <x v="18"/>
    <x v="249"/>
    <x v="0"/>
    <x v="2"/>
  </r>
  <r>
    <x v="12"/>
    <x v="217"/>
    <x v="4"/>
    <x v="11"/>
    <x v="11"/>
    <x v="1"/>
    <x v="0"/>
    <x v="6"/>
    <x v="282"/>
    <x v="0"/>
    <x v="2"/>
  </r>
  <r>
    <x v="12"/>
    <x v="218"/>
    <x v="4"/>
    <x v="7"/>
    <x v="7"/>
    <x v="1"/>
    <x v="0"/>
    <x v="18"/>
    <x v="249"/>
    <x v="0"/>
    <x v="2"/>
  </r>
  <r>
    <x v="12"/>
    <x v="219"/>
    <x v="5"/>
    <x v="6"/>
    <x v="6"/>
    <x v="1"/>
    <x v="0"/>
    <x v="7"/>
    <x v="110"/>
    <x v="0"/>
    <x v="2"/>
  </r>
  <r>
    <x v="13"/>
    <x v="220"/>
    <x v="0"/>
    <x v="2"/>
    <x v="2"/>
    <x v="1"/>
    <x v="0"/>
    <x v="52"/>
    <x v="235"/>
    <x v="0"/>
    <x v="2"/>
  </r>
  <r>
    <x v="13"/>
    <x v="221"/>
    <x v="0"/>
    <x v="2"/>
    <x v="2"/>
    <x v="6"/>
    <x v="5"/>
    <x v="39"/>
    <x v="188"/>
    <x v="0"/>
    <x v="2"/>
  </r>
  <r>
    <x v="13"/>
    <x v="222"/>
    <x v="1"/>
    <x v="3"/>
    <x v="3"/>
    <x v="5"/>
    <x v="4"/>
    <x v="21"/>
    <x v="149"/>
    <x v="0"/>
    <x v="2"/>
  </r>
  <r>
    <x v="13"/>
    <x v="223"/>
    <x v="1"/>
    <x v="9"/>
    <x v="9"/>
    <x v="2"/>
    <x v="1"/>
    <x v="2"/>
    <x v="124"/>
    <x v="0"/>
    <x v="2"/>
  </r>
  <r>
    <x v="13"/>
    <x v="224"/>
    <x v="1"/>
    <x v="8"/>
    <x v="8"/>
    <x v="9"/>
    <x v="8"/>
    <x v="22"/>
    <x v="304"/>
    <x v="0"/>
    <x v="2"/>
  </r>
  <r>
    <x v="13"/>
    <x v="225"/>
    <x v="1"/>
    <x v="10"/>
    <x v="10"/>
    <x v="6"/>
    <x v="5"/>
    <x v="14"/>
    <x v="309"/>
    <x v="0"/>
    <x v="2"/>
  </r>
  <r>
    <x v="13"/>
    <x v="226"/>
    <x v="2"/>
    <x v="8"/>
    <x v="8"/>
    <x v="3"/>
    <x v="2"/>
    <x v="28"/>
    <x v="315"/>
    <x v="0"/>
    <x v="2"/>
  </r>
  <r>
    <x v="13"/>
    <x v="227"/>
    <x v="2"/>
    <x v="7"/>
    <x v="7"/>
    <x v="6"/>
    <x v="5"/>
    <x v="16"/>
    <x v="232"/>
    <x v="0"/>
    <x v="2"/>
  </r>
  <r>
    <x v="13"/>
    <x v="228"/>
    <x v="2"/>
    <x v="9"/>
    <x v="9"/>
    <x v="2"/>
    <x v="1"/>
    <x v="6"/>
    <x v="201"/>
    <x v="0"/>
    <x v="2"/>
  </r>
  <r>
    <x v="13"/>
    <x v="229"/>
    <x v="2"/>
    <x v="5"/>
    <x v="5"/>
    <x v="5"/>
    <x v="4"/>
    <x v="23"/>
    <x v="202"/>
    <x v="0"/>
    <x v="2"/>
  </r>
  <r>
    <x v="13"/>
    <x v="230"/>
    <x v="3"/>
    <x v="2"/>
    <x v="2"/>
    <x v="1"/>
    <x v="0"/>
    <x v="43"/>
    <x v="204"/>
    <x v="0"/>
    <x v="2"/>
  </r>
  <r>
    <x v="13"/>
    <x v="231"/>
    <x v="3"/>
    <x v="4"/>
    <x v="4"/>
    <x v="3"/>
    <x v="2"/>
    <x v="13"/>
    <x v="108"/>
    <x v="0"/>
    <x v="2"/>
  </r>
  <r>
    <x v="13"/>
    <x v="232"/>
    <x v="4"/>
    <x v="4"/>
    <x v="4"/>
    <x v="1"/>
    <x v="0"/>
    <x v="3"/>
    <x v="34"/>
    <x v="0"/>
    <x v="2"/>
  </r>
  <r>
    <x v="13"/>
    <x v="233"/>
    <x v="4"/>
    <x v="7"/>
    <x v="7"/>
    <x v="1"/>
    <x v="0"/>
    <x v="11"/>
    <x v="181"/>
    <x v="0"/>
    <x v="2"/>
  </r>
  <r>
    <x v="13"/>
    <x v="234"/>
    <x v="4"/>
    <x v="7"/>
    <x v="7"/>
    <x v="1"/>
    <x v="0"/>
    <x v="5"/>
    <x v="106"/>
    <x v="0"/>
    <x v="2"/>
  </r>
  <r>
    <x v="13"/>
    <x v="235"/>
    <x v="5"/>
    <x v="6"/>
    <x v="6"/>
    <x v="1"/>
    <x v="0"/>
    <x v="19"/>
    <x v="226"/>
    <x v="0"/>
    <x v="2"/>
  </r>
  <r>
    <x v="13"/>
    <x v="236"/>
    <x v="5"/>
    <x v="10"/>
    <x v="10"/>
    <x v="1"/>
    <x v="0"/>
    <x v="0"/>
    <x v="105"/>
    <x v="0"/>
    <x v="2"/>
  </r>
  <r>
    <x v="13"/>
    <x v="237"/>
    <x v="5"/>
    <x v="8"/>
    <x v="8"/>
    <x v="1"/>
    <x v="0"/>
    <x v="7"/>
    <x v="174"/>
    <x v="0"/>
    <x v="2"/>
  </r>
  <r>
    <x v="14"/>
    <x v="238"/>
    <x v="0"/>
    <x v="0"/>
    <x v="0"/>
    <x v="6"/>
    <x v="5"/>
    <x v="15"/>
    <x v="36"/>
    <x v="0"/>
    <x v="2"/>
  </r>
  <r>
    <x v="14"/>
    <x v="239"/>
    <x v="0"/>
    <x v="6"/>
    <x v="6"/>
    <x v="1"/>
    <x v="0"/>
    <x v="7"/>
    <x v="110"/>
    <x v="0"/>
    <x v="2"/>
  </r>
  <r>
    <x v="14"/>
    <x v="240"/>
    <x v="1"/>
    <x v="6"/>
    <x v="6"/>
    <x v="0"/>
    <x v="9"/>
    <x v="28"/>
    <x v="282"/>
    <x v="0"/>
    <x v="2"/>
  </r>
  <r>
    <x v="14"/>
    <x v="241"/>
    <x v="1"/>
    <x v="10"/>
    <x v="10"/>
    <x v="8"/>
    <x v="7"/>
    <x v="14"/>
    <x v="309"/>
    <x v="0"/>
    <x v="2"/>
  </r>
  <r>
    <x v="14"/>
    <x v="242"/>
    <x v="1"/>
    <x v="3"/>
    <x v="3"/>
    <x v="8"/>
    <x v="7"/>
    <x v="36"/>
    <x v="228"/>
    <x v="0"/>
    <x v="2"/>
  </r>
  <r>
    <x v="14"/>
    <x v="243"/>
    <x v="1"/>
    <x v="5"/>
    <x v="5"/>
    <x v="1"/>
    <x v="0"/>
    <x v="40"/>
    <x v="284"/>
    <x v="0"/>
    <x v="2"/>
  </r>
  <r>
    <x v="14"/>
    <x v="244"/>
    <x v="1"/>
    <x v="7"/>
    <x v="7"/>
    <x v="1"/>
    <x v="0"/>
    <x v="28"/>
    <x v="300"/>
    <x v="0"/>
    <x v="2"/>
  </r>
  <r>
    <x v="14"/>
    <x v="245"/>
    <x v="2"/>
    <x v="4"/>
    <x v="4"/>
    <x v="1"/>
    <x v="0"/>
    <x v="4"/>
    <x v="42"/>
    <x v="0"/>
    <x v="2"/>
  </r>
  <r>
    <x v="14"/>
    <x v="246"/>
    <x v="3"/>
    <x v="3"/>
    <x v="3"/>
    <x v="9"/>
    <x v="8"/>
    <x v="9"/>
    <x v="66"/>
    <x v="0"/>
    <x v="2"/>
  </r>
  <r>
    <x v="14"/>
    <x v="247"/>
    <x v="3"/>
    <x v="0"/>
    <x v="0"/>
    <x v="7"/>
    <x v="6"/>
    <x v="51"/>
    <x v="150"/>
    <x v="0"/>
    <x v="2"/>
  </r>
  <r>
    <x v="14"/>
    <x v="248"/>
    <x v="3"/>
    <x v="7"/>
    <x v="7"/>
    <x v="1"/>
    <x v="0"/>
    <x v="7"/>
    <x v="134"/>
    <x v="0"/>
    <x v="2"/>
  </r>
  <r>
    <x v="14"/>
    <x v="249"/>
    <x v="3"/>
    <x v="9"/>
    <x v="9"/>
    <x v="3"/>
    <x v="2"/>
    <x v="0"/>
    <x v="77"/>
    <x v="0"/>
    <x v="2"/>
  </r>
  <r>
    <x v="14"/>
    <x v="250"/>
    <x v="4"/>
    <x v="5"/>
    <x v="5"/>
    <x v="3"/>
    <x v="2"/>
    <x v="36"/>
    <x v="271"/>
    <x v="0"/>
    <x v="2"/>
  </r>
  <r>
    <x v="14"/>
    <x v="251"/>
    <x v="4"/>
    <x v="8"/>
    <x v="8"/>
    <x v="8"/>
    <x v="7"/>
    <x v="19"/>
    <x v="291"/>
    <x v="0"/>
    <x v="2"/>
  </r>
  <r>
    <x v="14"/>
    <x v="252"/>
    <x v="4"/>
    <x v="6"/>
    <x v="6"/>
    <x v="1"/>
    <x v="0"/>
    <x v="5"/>
    <x v="83"/>
    <x v="0"/>
    <x v="2"/>
  </r>
  <r>
    <x v="14"/>
    <x v="253"/>
    <x v="5"/>
    <x v="6"/>
    <x v="6"/>
    <x v="1"/>
    <x v="0"/>
    <x v="11"/>
    <x v="153"/>
    <x v="0"/>
    <x v="2"/>
  </r>
  <r>
    <x v="14"/>
    <x v="254"/>
    <x v="5"/>
    <x v="11"/>
    <x v="11"/>
    <x v="1"/>
    <x v="0"/>
    <x v="2"/>
    <x v="202"/>
    <x v="0"/>
    <x v="2"/>
  </r>
  <r>
    <x v="15"/>
    <x v="255"/>
    <x v="0"/>
    <x v="1"/>
    <x v="1"/>
    <x v="1"/>
    <x v="0"/>
    <x v="45"/>
    <x v="179"/>
    <x v="0"/>
    <x v="2"/>
  </r>
  <r>
    <x v="15"/>
    <x v="256"/>
    <x v="0"/>
    <x v="4"/>
    <x v="4"/>
    <x v="1"/>
    <x v="0"/>
    <x v="34"/>
    <x v="238"/>
    <x v="0"/>
    <x v="2"/>
  </r>
  <r>
    <x v="15"/>
    <x v="257"/>
    <x v="1"/>
    <x v="8"/>
    <x v="8"/>
    <x v="9"/>
    <x v="8"/>
    <x v="3"/>
    <x v="110"/>
    <x v="0"/>
    <x v="2"/>
  </r>
  <r>
    <x v="15"/>
    <x v="258"/>
    <x v="1"/>
    <x v="8"/>
    <x v="8"/>
    <x v="1"/>
    <x v="0"/>
    <x v="19"/>
    <x v="291"/>
    <x v="0"/>
    <x v="2"/>
  </r>
  <r>
    <x v="15"/>
    <x v="259"/>
    <x v="1"/>
    <x v="10"/>
    <x v="10"/>
    <x v="1"/>
    <x v="0"/>
    <x v="8"/>
    <x v="270"/>
    <x v="0"/>
    <x v="2"/>
  </r>
  <r>
    <x v="15"/>
    <x v="260"/>
    <x v="1"/>
    <x v="7"/>
    <x v="7"/>
    <x v="0"/>
    <x v="9"/>
    <x v="15"/>
    <x v="223"/>
    <x v="0"/>
    <x v="2"/>
  </r>
  <r>
    <x v="15"/>
    <x v="261"/>
    <x v="2"/>
    <x v="3"/>
    <x v="3"/>
    <x v="9"/>
    <x v="8"/>
    <x v="18"/>
    <x v="127"/>
    <x v="0"/>
    <x v="2"/>
  </r>
  <r>
    <x v="15"/>
    <x v="262"/>
    <x v="2"/>
    <x v="1"/>
    <x v="1"/>
    <x v="1"/>
    <x v="0"/>
    <x v="56"/>
    <x v="217"/>
    <x v="0"/>
    <x v="2"/>
  </r>
  <r>
    <x v="15"/>
    <x v="263"/>
    <x v="2"/>
    <x v="0"/>
    <x v="0"/>
    <x v="5"/>
    <x v="4"/>
    <x v="15"/>
    <x v="36"/>
    <x v="0"/>
    <x v="2"/>
  </r>
  <r>
    <x v="15"/>
    <x v="264"/>
    <x v="3"/>
    <x v="5"/>
    <x v="5"/>
    <x v="8"/>
    <x v="7"/>
    <x v="0"/>
    <x v="16"/>
    <x v="0"/>
    <x v="2"/>
  </r>
  <r>
    <x v="15"/>
    <x v="265"/>
    <x v="3"/>
    <x v="0"/>
    <x v="0"/>
    <x v="4"/>
    <x v="3"/>
    <x v="36"/>
    <x v="101"/>
    <x v="0"/>
    <x v="2"/>
  </r>
  <r>
    <x v="15"/>
    <x v="266"/>
    <x v="3"/>
    <x v="7"/>
    <x v="7"/>
    <x v="9"/>
    <x v="8"/>
    <x v="17"/>
    <x v="241"/>
    <x v="0"/>
    <x v="2"/>
  </r>
  <r>
    <x v="15"/>
    <x v="267"/>
    <x v="3"/>
    <x v="8"/>
    <x v="8"/>
    <x v="1"/>
    <x v="0"/>
    <x v="12"/>
    <x v="236"/>
    <x v="0"/>
    <x v="2"/>
  </r>
  <r>
    <x v="15"/>
    <x v="268"/>
    <x v="4"/>
    <x v="4"/>
    <x v="4"/>
    <x v="1"/>
    <x v="0"/>
    <x v="16"/>
    <x v="129"/>
    <x v="0"/>
    <x v="2"/>
  </r>
  <r>
    <x v="15"/>
    <x v="269"/>
    <x v="4"/>
    <x v="8"/>
    <x v="8"/>
    <x v="0"/>
    <x v="9"/>
    <x v="5"/>
    <x v="142"/>
    <x v="0"/>
    <x v="2"/>
  </r>
  <r>
    <x v="15"/>
    <x v="270"/>
    <x v="4"/>
    <x v="9"/>
    <x v="9"/>
    <x v="2"/>
    <x v="1"/>
    <x v="8"/>
    <x v="230"/>
    <x v="0"/>
    <x v="2"/>
  </r>
  <r>
    <x v="15"/>
    <x v="271"/>
    <x v="4"/>
    <x v="9"/>
    <x v="9"/>
    <x v="6"/>
    <x v="5"/>
    <x v="5"/>
    <x v="184"/>
    <x v="0"/>
    <x v="2"/>
  </r>
  <r>
    <x v="15"/>
    <x v="272"/>
    <x v="5"/>
    <x v="8"/>
    <x v="8"/>
    <x v="1"/>
    <x v="0"/>
    <x v="6"/>
    <x v="158"/>
    <x v="0"/>
    <x v="2"/>
  </r>
  <r>
    <x v="15"/>
    <x v="273"/>
    <x v="5"/>
    <x v="4"/>
    <x v="4"/>
    <x v="1"/>
    <x v="0"/>
    <x v="2"/>
    <x v="25"/>
    <x v="0"/>
    <x v="2"/>
  </r>
  <r>
    <x v="15"/>
    <x v="274"/>
    <x v="5"/>
    <x v="8"/>
    <x v="8"/>
    <x v="1"/>
    <x v="0"/>
    <x v="21"/>
    <x v="299"/>
    <x v="0"/>
    <x v="2"/>
  </r>
  <r>
    <x v="16"/>
    <x v="275"/>
    <x v="0"/>
    <x v="2"/>
    <x v="2"/>
    <x v="6"/>
    <x v="5"/>
    <x v="1"/>
    <x v="7"/>
    <x v="0"/>
    <x v="2"/>
  </r>
  <r>
    <x v="16"/>
    <x v="276"/>
    <x v="1"/>
    <x v="2"/>
    <x v="2"/>
    <x v="1"/>
    <x v="0"/>
    <x v="2"/>
    <x v="10"/>
    <x v="0"/>
    <x v="2"/>
  </r>
  <r>
    <x v="16"/>
    <x v="277"/>
    <x v="2"/>
    <x v="5"/>
    <x v="5"/>
    <x v="4"/>
    <x v="3"/>
    <x v="35"/>
    <x v="267"/>
    <x v="0"/>
    <x v="2"/>
  </r>
  <r>
    <x v="16"/>
    <x v="278"/>
    <x v="2"/>
    <x v="11"/>
    <x v="11"/>
    <x v="8"/>
    <x v="7"/>
    <x v="11"/>
    <x v="313"/>
    <x v="0"/>
    <x v="2"/>
  </r>
  <r>
    <x v="16"/>
    <x v="279"/>
    <x v="3"/>
    <x v="0"/>
    <x v="0"/>
    <x v="1"/>
    <x v="0"/>
    <x v="31"/>
    <x v="84"/>
    <x v="0"/>
    <x v="2"/>
  </r>
  <r>
    <x v="16"/>
    <x v="280"/>
    <x v="3"/>
    <x v="8"/>
    <x v="8"/>
    <x v="0"/>
    <x v="9"/>
    <x v="25"/>
    <x v="310"/>
    <x v="0"/>
    <x v="2"/>
  </r>
  <r>
    <x v="16"/>
    <x v="281"/>
    <x v="4"/>
    <x v="4"/>
    <x v="4"/>
    <x v="5"/>
    <x v="4"/>
    <x v="26"/>
    <x v="197"/>
    <x v="0"/>
    <x v="2"/>
  </r>
  <r>
    <x v="16"/>
    <x v="282"/>
    <x v="4"/>
    <x v="11"/>
    <x v="11"/>
    <x v="9"/>
    <x v="8"/>
    <x v="11"/>
    <x v="313"/>
    <x v="0"/>
    <x v="2"/>
  </r>
  <r>
    <x v="16"/>
    <x v="283"/>
    <x v="4"/>
    <x v="8"/>
    <x v="8"/>
    <x v="2"/>
    <x v="1"/>
    <x v="23"/>
    <x v="306"/>
    <x v="0"/>
    <x v="2"/>
  </r>
  <r>
    <x v="16"/>
    <x v="284"/>
    <x v="4"/>
    <x v="11"/>
    <x v="11"/>
    <x v="1"/>
    <x v="0"/>
    <x v="10"/>
    <x v="310"/>
    <x v="0"/>
    <x v="2"/>
  </r>
  <r>
    <x v="16"/>
    <x v="285"/>
    <x v="5"/>
    <x v="4"/>
    <x v="4"/>
    <x v="9"/>
    <x v="8"/>
    <x v="21"/>
    <x v="167"/>
    <x v="0"/>
    <x v="2"/>
  </r>
  <r>
    <x v="17"/>
    <x v="286"/>
    <x v="0"/>
    <x v="7"/>
    <x v="7"/>
    <x v="1"/>
    <x v="0"/>
    <x v="18"/>
    <x v="249"/>
    <x v="0"/>
    <x v="2"/>
  </r>
  <r>
    <x v="17"/>
    <x v="287"/>
    <x v="0"/>
    <x v="11"/>
    <x v="11"/>
    <x v="4"/>
    <x v="3"/>
    <x v="7"/>
    <x v="291"/>
    <x v="0"/>
    <x v="2"/>
  </r>
  <r>
    <x v="17"/>
    <x v="288"/>
    <x v="0"/>
    <x v="0"/>
    <x v="0"/>
    <x v="1"/>
    <x v="0"/>
    <x v="31"/>
    <x v="84"/>
    <x v="0"/>
    <x v="2"/>
  </r>
  <r>
    <x v="17"/>
    <x v="289"/>
    <x v="0"/>
    <x v="4"/>
    <x v="4"/>
    <x v="1"/>
    <x v="0"/>
    <x v="39"/>
    <x v="263"/>
    <x v="0"/>
    <x v="2"/>
  </r>
  <r>
    <x v="17"/>
    <x v="290"/>
    <x v="0"/>
    <x v="6"/>
    <x v="6"/>
    <x v="1"/>
    <x v="0"/>
    <x v="20"/>
    <x v="233"/>
    <x v="0"/>
    <x v="2"/>
  </r>
  <r>
    <x v="17"/>
    <x v="291"/>
    <x v="1"/>
    <x v="0"/>
    <x v="0"/>
    <x v="1"/>
    <x v="0"/>
    <x v="10"/>
    <x v="21"/>
    <x v="0"/>
    <x v="2"/>
  </r>
  <r>
    <x v="17"/>
    <x v="292"/>
    <x v="2"/>
    <x v="1"/>
    <x v="1"/>
    <x v="1"/>
    <x v="0"/>
    <x v="46"/>
    <x v="186"/>
    <x v="0"/>
    <x v="2"/>
  </r>
  <r>
    <x v="17"/>
    <x v="293"/>
    <x v="2"/>
    <x v="6"/>
    <x v="6"/>
    <x v="1"/>
    <x v="0"/>
    <x v="3"/>
    <x v="63"/>
    <x v="0"/>
    <x v="2"/>
  </r>
  <r>
    <x v="17"/>
    <x v="294"/>
    <x v="3"/>
    <x v="3"/>
    <x v="3"/>
    <x v="1"/>
    <x v="0"/>
    <x v="15"/>
    <x v="107"/>
    <x v="0"/>
    <x v="2"/>
  </r>
  <r>
    <x v="17"/>
    <x v="295"/>
    <x v="3"/>
    <x v="3"/>
    <x v="3"/>
    <x v="1"/>
    <x v="0"/>
    <x v="6"/>
    <x v="46"/>
    <x v="0"/>
    <x v="2"/>
  </r>
  <r>
    <x v="17"/>
    <x v="296"/>
    <x v="4"/>
    <x v="4"/>
    <x v="4"/>
    <x v="1"/>
    <x v="0"/>
    <x v="0"/>
    <x v="11"/>
    <x v="0"/>
    <x v="2"/>
  </r>
  <r>
    <x v="17"/>
    <x v="297"/>
    <x v="5"/>
    <x v="8"/>
    <x v="8"/>
    <x v="1"/>
    <x v="0"/>
    <x v="17"/>
    <x v="282"/>
    <x v="0"/>
    <x v="2"/>
  </r>
  <r>
    <x v="18"/>
    <x v="298"/>
    <x v="0"/>
    <x v="0"/>
    <x v="0"/>
    <x v="2"/>
    <x v="1"/>
    <x v="51"/>
    <x v="150"/>
    <x v="0"/>
    <x v="3"/>
  </r>
  <r>
    <x v="18"/>
    <x v="299"/>
    <x v="0"/>
    <x v="4"/>
    <x v="4"/>
    <x v="7"/>
    <x v="6"/>
    <x v="37"/>
    <x v="252"/>
    <x v="0"/>
    <x v="3"/>
  </r>
  <r>
    <x v="18"/>
    <x v="300"/>
    <x v="0"/>
    <x v="6"/>
    <x v="6"/>
    <x v="1"/>
    <x v="0"/>
    <x v="21"/>
    <x v="240"/>
    <x v="0"/>
    <x v="3"/>
  </r>
  <r>
    <x v="18"/>
    <x v="301"/>
    <x v="1"/>
    <x v="8"/>
    <x v="8"/>
    <x v="1"/>
    <x v="0"/>
    <x v="10"/>
    <x v="213"/>
    <x v="0"/>
    <x v="3"/>
  </r>
  <r>
    <x v="18"/>
    <x v="302"/>
    <x v="1"/>
    <x v="4"/>
    <x v="4"/>
    <x v="7"/>
    <x v="6"/>
    <x v="21"/>
    <x v="167"/>
    <x v="0"/>
    <x v="3"/>
  </r>
  <r>
    <x v="18"/>
    <x v="303"/>
    <x v="1"/>
    <x v="4"/>
    <x v="4"/>
    <x v="1"/>
    <x v="0"/>
    <x v="9"/>
    <x v="74"/>
    <x v="0"/>
    <x v="3"/>
  </r>
  <r>
    <x v="18"/>
    <x v="304"/>
    <x v="1"/>
    <x v="3"/>
    <x v="3"/>
    <x v="6"/>
    <x v="5"/>
    <x v="6"/>
    <x v="46"/>
    <x v="0"/>
    <x v="3"/>
  </r>
  <r>
    <x v="18"/>
    <x v="305"/>
    <x v="2"/>
    <x v="7"/>
    <x v="7"/>
    <x v="2"/>
    <x v="1"/>
    <x v="27"/>
    <x v="297"/>
    <x v="0"/>
    <x v="3"/>
  </r>
  <r>
    <x v="18"/>
    <x v="306"/>
    <x v="2"/>
    <x v="3"/>
    <x v="3"/>
    <x v="5"/>
    <x v="4"/>
    <x v="29"/>
    <x v="196"/>
    <x v="0"/>
    <x v="3"/>
  </r>
  <r>
    <x v="18"/>
    <x v="307"/>
    <x v="2"/>
    <x v="1"/>
    <x v="1"/>
    <x v="2"/>
    <x v="1"/>
    <x v="54"/>
    <x v="211"/>
    <x v="0"/>
    <x v="3"/>
  </r>
  <r>
    <x v="18"/>
    <x v="308"/>
    <x v="2"/>
    <x v="11"/>
    <x v="11"/>
    <x v="1"/>
    <x v="0"/>
    <x v="11"/>
    <x v="313"/>
    <x v="0"/>
    <x v="3"/>
  </r>
  <r>
    <x v="18"/>
    <x v="309"/>
    <x v="3"/>
    <x v="9"/>
    <x v="9"/>
    <x v="1"/>
    <x v="0"/>
    <x v="14"/>
    <x v="292"/>
    <x v="0"/>
    <x v="3"/>
  </r>
  <r>
    <x v="18"/>
    <x v="310"/>
    <x v="3"/>
    <x v="3"/>
    <x v="3"/>
    <x v="1"/>
    <x v="0"/>
    <x v="36"/>
    <x v="228"/>
    <x v="0"/>
    <x v="3"/>
  </r>
  <r>
    <x v="18"/>
    <x v="311"/>
    <x v="3"/>
    <x v="5"/>
    <x v="5"/>
    <x v="1"/>
    <x v="0"/>
    <x v="9"/>
    <x v="89"/>
    <x v="0"/>
    <x v="3"/>
  </r>
  <r>
    <x v="18"/>
    <x v="312"/>
    <x v="3"/>
    <x v="11"/>
    <x v="11"/>
    <x v="8"/>
    <x v="7"/>
    <x v="8"/>
    <x v="299"/>
    <x v="0"/>
    <x v="3"/>
  </r>
  <r>
    <x v="18"/>
    <x v="313"/>
    <x v="4"/>
    <x v="0"/>
    <x v="0"/>
    <x v="3"/>
    <x v="2"/>
    <x v="43"/>
    <x v="125"/>
    <x v="0"/>
    <x v="3"/>
  </r>
  <r>
    <x v="18"/>
    <x v="314"/>
    <x v="4"/>
    <x v="8"/>
    <x v="8"/>
    <x v="1"/>
    <x v="0"/>
    <x v="6"/>
    <x v="158"/>
    <x v="0"/>
    <x v="3"/>
  </r>
  <r>
    <x v="18"/>
    <x v="315"/>
    <x v="5"/>
    <x v="7"/>
    <x v="7"/>
    <x v="1"/>
    <x v="0"/>
    <x v="4"/>
    <x v="92"/>
    <x v="0"/>
    <x v="3"/>
  </r>
  <r>
    <x v="19"/>
    <x v="316"/>
    <x v="0"/>
    <x v="9"/>
    <x v="9"/>
    <x v="7"/>
    <x v="6"/>
    <x v="1"/>
    <x v="100"/>
    <x v="0"/>
    <x v="3"/>
  </r>
  <r>
    <x v="19"/>
    <x v="317"/>
    <x v="0"/>
    <x v="0"/>
    <x v="0"/>
    <x v="1"/>
    <x v="0"/>
    <x v="37"/>
    <x v="104"/>
    <x v="0"/>
    <x v="3"/>
  </r>
  <r>
    <x v="19"/>
    <x v="318"/>
    <x v="1"/>
    <x v="11"/>
    <x v="11"/>
    <x v="0"/>
    <x v="9"/>
    <x v="5"/>
    <x v="267"/>
    <x v="0"/>
    <x v="3"/>
  </r>
  <r>
    <x v="19"/>
    <x v="319"/>
    <x v="1"/>
    <x v="11"/>
    <x v="11"/>
    <x v="1"/>
    <x v="0"/>
    <x v="9"/>
    <x v="306"/>
    <x v="0"/>
    <x v="3"/>
  </r>
  <r>
    <x v="19"/>
    <x v="320"/>
    <x v="1"/>
    <x v="11"/>
    <x v="11"/>
    <x v="4"/>
    <x v="3"/>
    <x v="0"/>
    <x v="142"/>
    <x v="0"/>
    <x v="3"/>
  </r>
  <r>
    <x v="19"/>
    <x v="321"/>
    <x v="2"/>
    <x v="1"/>
    <x v="1"/>
    <x v="1"/>
    <x v="0"/>
    <x v="28"/>
    <x v="112"/>
    <x v="0"/>
    <x v="3"/>
  </r>
  <r>
    <x v="19"/>
    <x v="322"/>
    <x v="3"/>
    <x v="8"/>
    <x v="8"/>
    <x v="8"/>
    <x v="7"/>
    <x v="29"/>
    <x v="316"/>
    <x v="0"/>
    <x v="3"/>
  </r>
  <r>
    <x v="19"/>
    <x v="323"/>
    <x v="3"/>
    <x v="5"/>
    <x v="5"/>
    <x v="1"/>
    <x v="0"/>
    <x v="5"/>
    <x v="56"/>
    <x v="0"/>
    <x v="3"/>
  </r>
  <r>
    <x v="19"/>
    <x v="324"/>
    <x v="3"/>
    <x v="4"/>
    <x v="4"/>
    <x v="1"/>
    <x v="0"/>
    <x v="10"/>
    <x v="82"/>
    <x v="0"/>
    <x v="3"/>
  </r>
  <r>
    <x v="19"/>
    <x v="325"/>
    <x v="3"/>
    <x v="4"/>
    <x v="4"/>
    <x v="1"/>
    <x v="0"/>
    <x v="20"/>
    <x v="160"/>
    <x v="0"/>
    <x v="3"/>
  </r>
  <r>
    <x v="19"/>
    <x v="326"/>
    <x v="4"/>
    <x v="0"/>
    <x v="0"/>
    <x v="6"/>
    <x v="5"/>
    <x v="26"/>
    <x v="69"/>
    <x v="0"/>
    <x v="3"/>
  </r>
  <r>
    <x v="19"/>
    <x v="327"/>
    <x v="4"/>
    <x v="5"/>
    <x v="5"/>
    <x v="6"/>
    <x v="5"/>
    <x v="2"/>
    <x v="32"/>
    <x v="0"/>
    <x v="3"/>
  </r>
  <r>
    <x v="19"/>
    <x v="328"/>
    <x v="4"/>
    <x v="9"/>
    <x v="9"/>
    <x v="1"/>
    <x v="0"/>
    <x v="4"/>
    <x v="166"/>
    <x v="0"/>
    <x v="3"/>
  </r>
  <r>
    <x v="19"/>
    <x v="329"/>
    <x v="5"/>
    <x v="6"/>
    <x v="6"/>
    <x v="1"/>
    <x v="0"/>
    <x v="7"/>
    <x v="110"/>
    <x v="0"/>
    <x v="3"/>
  </r>
  <r>
    <x v="19"/>
    <x v="330"/>
    <x v="5"/>
    <x v="11"/>
    <x v="11"/>
    <x v="1"/>
    <x v="0"/>
    <x v="4"/>
    <x v="248"/>
    <x v="0"/>
    <x v="3"/>
  </r>
  <r>
    <x v="20"/>
    <x v="331"/>
    <x v="0"/>
    <x v="0"/>
    <x v="0"/>
    <x v="4"/>
    <x v="3"/>
    <x v="15"/>
    <x v="36"/>
    <x v="0"/>
    <x v="3"/>
  </r>
  <r>
    <x v="20"/>
    <x v="332"/>
    <x v="0"/>
    <x v="2"/>
    <x v="2"/>
    <x v="1"/>
    <x v="0"/>
    <x v="5"/>
    <x v="22"/>
    <x v="0"/>
    <x v="3"/>
  </r>
  <r>
    <x v="20"/>
    <x v="333"/>
    <x v="0"/>
    <x v="11"/>
    <x v="11"/>
    <x v="9"/>
    <x v="8"/>
    <x v="4"/>
    <x v="248"/>
    <x v="0"/>
    <x v="3"/>
  </r>
  <r>
    <x v="20"/>
    <x v="334"/>
    <x v="0"/>
    <x v="5"/>
    <x v="5"/>
    <x v="1"/>
    <x v="0"/>
    <x v="11"/>
    <x v="110"/>
    <x v="0"/>
    <x v="3"/>
  </r>
  <r>
    <x v="20"/>
    <x v="335"/>
    <x v="0"/>
    <x v="3"/>
    <x v="3"/>
    <x v="7"/>
    <x v="6"/>
    <x v="41"/>
    <x v="250"/>
    <x v="0"/>
    <x v="3"/>
  </r>
  <r>
    <x v="20"/>
    <x v="336"/>
    <x v="1"/>
    <x v="9"/>
    <x v="9"/>
    <x v="1"/>
    <x v="0"/>
    <x v="0"/>
    <x v="77"/>
    <x v="0"/>
    <x v="3"/>
  </r>
  <r>
    <x v="20"/>
    <x v="337"/>
    <x v="1"/>
    <x v="5"/>
    <x v="5"/>
    <x v="1"/>
    <x v="0"/>
    <x v="13"/>
    <x v="126"/>
    <x v="0"/>
    <x v="3"/>
  </r>
  <r>
    <x v="20"/>
    <x v="338"/>
    <x v="2"/>
    <x v="11"/>
    <x v="11"/>
    <x v="1"/>
    <x v="0"/>
    <x v="10"/>
    <x v="310"/>
    <x v="0"/>
    <x v="3"/>
  </r>
  <r>
    <x v="20"/>
    <x v="339"/>
    <x v="2"/>
    <x v="5"/>
    <x v="5"/>
    <x v="4"/>
    <x v="3"/>
    <x v="21"/>
    <x v="189"/>
    <x v="0"/>
    <x v="3"/>
  </r>
  <r>
    <x v="20"/>
    <x v="340"/>
    <x v="3"/>
    <x v="1"/>
    <x v="1"/>
    <x v="1"/>
    <x v="0"/>
    <x v="51"/>
    <x v="202"/>
    <x v="0"/>
    <x v="3"/>
  </r>
  <r>
    <x v="20"/>
    <x v="341"/>
    <x v="3"/>
    <x v="7"/>
    <x v="7"/>
    <x v="1"/>
    <x v="0"/>
    <x v="2"/>
    <x v="65"/>
    <x v="0"/>
    <x v="3"/>
  </r>
  <r>
    <x v="20"/>
    <x v="342"/>
    <x v="3"/>
    <x v="7"/>
    <x v="7"/>
    <x v="1"/>
    <x v="0"/>
    <x v="11"/>
    <x v="181"/>
    <x v="0"/>
    <x v="3"/>
  </r>
  <r>
    <x v="20"/>
    <x v="343"/>
    <x v="4"/>
    <x v="5"/>
    <x v="5"/>
    <x v="1"/>
    <x v="0"/>
    <x v="8"/>
    <x v="80"/>
    <x v="0"/>
    <x v="3"/>
  </r>
  <r>
    <x v="20"/>
    <x v="344"/>
    <x v="4"/>
    <x v="1"/>
    <x v="1"/>
    <x v="0"/>
    <x v="9"/>
    <x v="34"/>
    <x v="139"/>
    <x v="0"/>
    <x v="3"/>
  </r>
  <r>
    <x v="20"/>
    <x v="345"/>
    <x v="5"/>
    <x v="6"/>
    <x v="6"/>
    <x v="1"/>
    <x v="0"/>
    <x v="20"/>
    <x v="233"/>
    <x v="0"/>
    <x v="3"/>
  </r>
  <r>
    <x v="21"/>
    <x v="346"/>
    <x v="0"/>
    <x v="8"/>
    <x v="8"/>
    <x v="1"/>
    <x v="0"/>
    <x v="24"/>
    <x v="308"/>
    <x v="0"/>
    <x v="3"/>
  </r>
  <r>
    <x v="21"/>
    <x v="347"/>
    <x v="0"/>
    <x v="1"/>
    <x v="1"/>
    <x v="4"/>
    <x v="3"/>
    <x v="36"/>
    <x v="147"/>
    <x v="0"/>
    <x v="3"/>
  </r>
  <r>
    <x v="21"/>
    <x v="348"/>
    <x v="0"/>
    <x v="2"/>
    <x v="2"/>
    <x v="1"/>
    <x v="0"/>
    <x v="44"/>
    <x v="206"/>
    <x v="0"/>
    <x v="3"/>
  </r>
  <r>
    <x v="21"/>
    <x v="349"/>
    <x v="0"/>
    <x v="5"/>
    <x v="5"/>
    <x v="1"/>
    <x v="0"/>
    <x v="39"/>
    <x v="282"/>
    <x v="0"/>
    <x v="3"/>
  </r>
  <r>
    <x v="21"/>
    <x v="350"/>
    <x v="0"/>
    <x v="11"/>
    <x v="11"/>
    <x v="5"/>
    <x v="4"/>
    <x v="3"/>
    <x v="226"/>
    <x v="0"/>
    <x v="3"/>
  </r>
  <r>
    <x v="21"/>
    <x v="351"/>
    <x v="0"/>
    <x v="4"/>
    <x v="4"/>
    <x v="1"/>
    <x v="0"/>
    <x v="21"/>
    <x v="167"/>
    <x v="0"/>
    <x v="3"/>
  </r>
  <r>
    <x v="21"/>
    <x v="352"/>
    <x v="1"/>
    <x v="6"/>
    <x v="6"/>
    <x v="1"/>
    <x v="0"/>
    <x v="21"/>
    <x v="240"/>
    <x v="0"/>
    <x v="3"/>
  </r>
  <r>
    <x v="21"/>
    <x v="353"/>
    <x v="1"/>
    <x v="8"/>
    <x v="8"/>
    <x v="1"/>
    <x v="0"/>
    <x v="8"/>
    <x v="189"/>
    <x v="0"/>
    <x v="3"/>
  </r>
  <r>
    <x v="21"/>
    <x v="354"/>
    <x v="1"/>
    <x v="1"/>
    <x v="1"/>
    <x v="9"/>
    <x v="8"/>
    <x v="36"/>
    <x v="147"/>
    <x v="0"/>
    <x v="3"/>
  </r>
  <r>
    <x v="21"/>
    <x v="355"/>
    <x v="2"/>
    <x v="9"/>
    <x v="9"/>
    <x v="1"/>
    <x v="0"/>
    <x v="1"/>
    <x v="100"/>
    <x v="0"/>
    <x v="3"/>
  </r>
  <r>
    <x v="21"/>
    <x v="356"/>
    <x v="3"/>
    <x v="10"/>
    <x v="10"/>
    <x v="4"/>
    <x v="3"/>
    <x v="12"/>
    <x v="302"/>
    <x v="0"/>
    <x v="3"/>
  </r>
  <r>
    <x v="21"/>
    <x v="357"/>
    <x v="3"/>
    <x v="0"/>
    <x v="0"/>
    <x v="6"/>
    <x v="5"/>
    <x v="9"/>
    <x v="17"/>
    <x v="0"/>
    <x v="3"/>
  </r>
  <r>
    <x v="21"/>
    <x v="358"/>
    <x v="3"/>
    <x v="4"/>
    <x v="4"/>
    <x v="1"/>
    <x v="0"/>
    <x v="43"/>
    <x v="275"/>
    <x v="0"/>
    <x v="3"/>
  </r>
  <r>
    <x v="21"/>
    <x v="359"/>
    <x v="4"/>
    <x v="10"/>
    <x v="10"/>
    <x v="1"/>
    <x v="0"/>
    <x v="7"/>
    <x v="255"/>
    <x v="0"/>
    <x v="3"/>
  </r>
  <r>
    <x v="21"/>
    <x v="360"/>
    <x v="4"/>
    <x v="1"/>
    <x v="1"/>
    <x v="3"/>
    <x v="2"/>
    <x v="20"/>
    <x v="75"/>
    <x v="0"/>
    <x v="3"/>
  </r>
  <r>
    <x v="21"/>
    <x v="361"/>
    <x v="4"/>
    <x v="7"/>
    <x v="7"/>
    <x v="2"/>
    <x v="1"/>
    <x v="15"/>
    <x v="223"/>
    <x v="0"/>
    <x v="3"/>
  </r>
  <r>
    <x v="21"/>
    <x v="362"/>
    <x v="4"/>
    <x v="4"/>
    <x v="4"/>
    <x v="0"/>
    <x v="9"/>
    <x v="24"/>
    <x v="187"/>
    <x v="0"/>
    <x v="3"/>
  </r>
  <r>
    <x v="21"/>
    <x v="363"/>
    <x v="5"/>
    <x v="6"/>
    <x v="6"/>
    <x v="1"/>
    <x v="0"/>
    <x v="2"/>
    <x v="50"/>
    <x v="0"/>
    <x v="3"/>
  </r>
  <r>
    <x v="21"/>
    <x v="364"/>
    <x v="5"/>
    <x v="8"/>
    <x v="8"/>
    <x v="5"/>
    <x v="4"/>
    <x v="4"/>
    <x v="126"/>
    <x v="0"/>
    <x v="3"/>
  </r>
  <r>
    <x v="22"/>
    <x v="365"/>
    <x v="0"/>
    <x v="9"/>
    <x v="9"/>
    <x v="1"/>
    <x v="0"/>
    <x v="7"/>
    <x v="216"/>
    <x v="0"/>
    <x v="3"/>
  </r>
  <r>
    <x v="22"/>
    <x v="366"/>
    <x v="0"/>
    <x v="3"/>
    <x v="3"/>
    <x v="1"/>
    <x v="0"/>
    <x v="13"/>
    <x v="93"/>
    <x v="0"/>
    <x v="3"/>
  </r>
  <r>
    <x v="22"/>
    <x v="367"/>
    <x v="1"/>
    <x v="6"/>
    <x v="6"/>
    <x v="1"/>
    <x v="0"/>
    <x v="0"/>
    <x v="30"/>
    <x v="0"/>
    <x v="3"/>
  </r>
  <r>
    <x v="22"/>
    <x v="368"/>
    <x v="1"/>
    <x v="6"/>
    <x v="6"/>
    <x v="1"/>
    <x v="0"/>
    <x v="13"/>
    <x v="174"/>
    <x v="0"/>
    <x v="3"/>
  </r>
  <r>
    <x v="22"/>
    <x v="369"/>
    <x v="1"/>
    <x v="10"/>
    <x v="10"/>
    <x v="1"/>
    <x v="0"/>
    <x v="13"/>
    <x v="307"/>
    <x v="0"/>
    <x v="3"/>
  </r>
  <r>
    <x v="22"/>
    <x v="370"/>
    <x v="2"/>
    <x v="5"/>
    <x v="5"/>
    <x v="1"/>
    <x v="0"/>
    <x v="5"/>
    <x v="56"/>
    <x v="0"/>
    <x v="3"/>
  </r>
  <r>
    <x v="22"/>
    <x v="371"/>
    <x v="2"/>
    <x v="4"/>
    <x v="4"/>
    <x v="5"/>
    <x v="4"/>
    <x v="32"/>
    <x v="229"/>
    <x v="0"/>
    <x v="3"/>
  </r>
  <r>
    <x v="22"/>
    <x v="372"/>
    <x v="2"/>
    <x v="11"/>
    <x v="11"/>
    <x v="6"/>
    <x v="5"/>
    <x v="7"/>
    <x v="291"/>
    <x v="0"/>
    <x v="3"/>
  </r>
  <r>
    <x v="22"/>
    <x v="373"/>
    <x v="2"/>
    <x v="2"/>
    <x v="2"/>
    <x v="6"/>
    <x v="5"/>
    <x v="17"/>
    <x v="79"/>
    <x v="0"/>
    <x v="3"/>
  </r>
  <r>
    <x v="22"/>
    <x v="374"/>
    <x v="3"/>
    <x v="7"/>
    <x v="7"/>
    <x v="1"/>
    <x v="0"/>
    <x v="1"/>
    <x v="52"/>
    <x v="0"/>
    <x v="3"/>
  </r>
  <r>
    <x v="22"/>
    <x v="375"/>
    <x v="4"/>
    <x v="2"/>
    <x v="2"/>
    <x v="4"/>
    <x v="3"/>
    <x v="13"/>
    <x v="62"/>
    <x v="0"/>
    <x v="3"/>
  </r>
  <r>
    <x v="22"/>
    <x v="376"/>
    <x v="4"/>
    <x v="6"/>
    <x v="6"/>
    <x v="4"/>
    <x v="3"/>
    <x v="21"/>
    <x v="240"/>
    <x v="0"/>
    <x v="3"/>
  </r>
  <r>
    <x v="22"/>
    <x v="377"/>
    <x v="4"/>
    <x v="2"/>
    <x v="2"/>
    <x v="1"/>
    <x v="0"/>
    <x v="39"/>
    <x v="188"/>
    <x v="0"/>
    <x v="3"/>
  </r>
  <r>
    <x v="22"/>
    <x v="378"/>
    <x v="4"/>
    <x v="3"/>
    <x v="3"/>
    <x v="5"/>
    <x v="4"/>
    <x v="17"/>
    <x v="121"/>
    <x v="0"/>
    <x v="3"/>
  </r>
  <r>
    <x v="22"/>
    <x v="379"/>
    <x v="5"/>
    <x v="4"/>
    <x v="4"/>
    <x v="1"/>
    <x v="0"/>
    <x v="38"/>
    <x v="259"/>
    <x v="0"/>
    <x v="3"/>
  </r>
  <r>
    <x v="22"/>
    <x v="380"/>
    <x v="5"/>
    <x v="10"/>
    <x v="10"/>
    <x v="1"/>
    <x v="0"/>
    <x v="5"/>
    <x v="222"/>
    <x v="0"/>
    <x v="3"/>
  </r>
  <r>
    <x v="22"/>
    <x v="381"/>
    <x v="5"/>
    <x v="1"/>
    <x v="1"/>
    <x v="7"/>
    <x v="6"/>
    <x v="49"/>
    <x v="195"/>
    <x v="0"/>
    <x v="3"/>
  </r>
  <r>
    <x v="23"/>
    <x v="382"/>
    <x v="0"/>
    <x v="11"/>
    <x v="11"/>
    <x v="1"/>
    <x v="0"/>
    <x v="9"/>
    <x v="306"/>
    <x v="0"/>
    <x v="3"/>
  </r>
  <r>
    <x v="23"/>
    <x v="383"/>
    <x v="0"/>
    <x v="2"/>
    <x v="2"/>
    <x v="1"/>
    <x v="0"/>
    <x v="7"/>
    <x v="34"/>
    <x v="0"/>
    <x v="3"/>
  </r>
  <r>
    <x v="23"/>
    <x v="384"/>
    <x v="0"/>
    <x v="2"/>
    <x v="2"/>
    <x v="1"/>
    <x v="0"/>
    <x v="7"/>
    <x v="34"/>
    <x v="0"/>
    <x v="3"/>
  </r>
  <r>
    <x v="23"/>
    <x v="385"/>
    <x v="1"/>
    <x v="8"/>
    <x v="8"/>
    <x v="4"/>
    <x v="3"/>
    <x v="24"/>
    <x v="308"/>
    <x v="0"/>
    <x v="3"/>
  </r>
  <r>
    <x v="23"/>
    <x v="386"/>
    <x v="1"/>
    <x v="4"/>
    <x v="4"/>
    <x v="1"/>
    <x v="0"/>
    <x v="39"/>
    <x v="263"/>
    <x v="0"/>
    <x v="3"/>
  </r>
  <r>
    <x v="23"/>
    <x v="387"/>
    <x v="2"/>
    <x v="7"/>
    <x v="7"/>
    <x v="2"/>
    <x v="1"/>
    <x v="28"/>
    <x v="300"/>
    <x v="0"/>
    <x v="3"/>
  </r>
  <r>
    <x v="23"/>
    <x v="388"/>
    <x v="2"/>
    <x v="2"/>
    <x v="2"/>
    <x v="1"/>
    <x v="0"/>
    <x v="54"/>
    <x v="242"/>
    <x v="0"/>
    <x v="3"/>
  </r>
  <r>
    <x v="23"/>
    <x v="389"/>
    <x v="2"/>
    <x v="2"/>
    <x v="2"/>
    <x v="6"/>
    <x v="5"/>
    <x v="0"/>
    <x v="3"/>
    <x v="0"/>
    <x v="3"/>
  </r>
  <r>
    <x v="23"/>
    <x v="390"/>
    <x v="2"/>
    <x v="10"/>
    <x v="10"/>
    <x v="3"/>
    <x v="2"/>
    <x v="16"/>
    <x v="314"/>
    <x v="0"/>
    <x v="3"/>
  </r>
  <r>
    <x v="23"/>
    <x v="391"/>
    <x v="2"/>
    <x v="2"/>
    <x v="2"/>
    <x v="1"/>
    <x v="0"/>
    <x v="23"/>
    <x v="113"/>
    <x v="0"/>
    <x v="3"/>
  </r>
  <r>
    <x v="23"/>
    <x v="392"/>
    <x v="3"/>
    <x v="0"/>
    <x v="0"/>
    <x v="3"/>
    <x v="2"/>
    <x v="51"/>
    <x v="150"/>
    <x v="0"/>
    <x v="3"/>
  </r>
  <r>
    <x v="23"/>
    <x v="393"/>
    <x v="3"/>
    <x v="1"/>
    <x v="1"/>
    <x v="9"/>
    <x v="8"/>
    <x v="36"/>
    <x v="147"/>
    <x v="0"/>
    <x v="3"/>
  </r>
  <r>
    <x v="23"/>
    <x v="394"/>
    <x v="3"/>
    <x v="2"/>
    <x v="2"/>
    <x v="0"/>
    <x v="9"/>
    <x v="26"/>
    <x v="127"/>
    <x v="0"/>
    <x v="3"/>
  </r>
  <r>
    <x v="23"/>
    <x v="395"/>
    <x v="3"/>
    <x v="7"/>
    <x v="7"/>
    <x v="7"/>
    <x v="6"/>
    <x v="8"/>
    <x v="147"/>
    <x v="0"/>
    <x v="3"/>
  </r>
  <r>
    <x v="23"/>
    <x v="396"/>
    <x v="4"/>
    <x v="9"/>
    <x v="9"/>
    <x v="1"/>
    <x v="0"/>
    <x v="14"/>
    <x v="292"/>
    <x v="0"/>
    <x v="3"/>
  </r>
  <r>
    <x v="23"/>
    <x v="397"/>
    <x v="5"/>
    <x v="3"/>
    <x v="3"/>
    <x v="9"/>
    <x v="8"/>
    <x v="10"/>
    <x v="72"/>
    <x v="0"/>
    <x v="3"/>
  </r>
  <r>
    <x v="23"/>
    <x v="398"/>
    <x v="5"/>
    <x v="3"/>
    <x v="3"/>
    <x v="9"/>
    <x v="8"/>
    <x v="11"/>
    <x v="78"/>
    <x v="0"/>
    <x v="3"/>
  </r>
  <r>
    <x v="23"/>
    <x v="399"/>
    <x v="5"/>
    <x v="0"/>
    <x v="0"/>
    <x v="1"/>
    <x v="0"/>
    <x v="13"/>
    <x v="31"/>
    <x v="0"/>
    <x v="3"/>
  </r>
  <r>
    <x v="24"/>
    <x v="400"/>
    <x v="0"/>
    <x v="2"/>
    <x v="2"/>
    <x v="1"/>
    <x v="0"/>
    <x v="16"/>
    <x v="74"/>
    <x v="0"/>
    <x v="4"/>
  </r>
  <r>
    <x v="24"/>
    <x v="401"/>
    <x v="0"/>
    <x v="0"/>
    <x v="0"/>
    <x v="1"/>
    <x v="0"/>
    <x v="26"/>
    <x v="69"/>
    <x v="0"/>
    <x v="4"/>
  </r>
  <r>
    <x v="24"/>
    <x v="402"/>
    <x v="0"/>
    <x v="5"/>
    <x v="5"/>
    <x v="7"/>
    <x v="6"/>
    <x v="6"/>
    <x v="64"/>
    <x v="0"/>
    <x v="4"/>
  </r>
  <r>
    <x v="24"/>
    <x v="403"/>
    <x v="1"/>
    <x v="5"/>
    <x v="5"/>
    <x v="1"/>
    <x v="0"/>
    <x v="25"/>
    <x v="213"/>
    <x v="0"/>
    <x v="4"/>
  </r>
  <r>
    <x v="24"/>
    <x v="404"/>
    <x v="1"/>
    <x v="4"/>
    <x v="4"/>
    <x v="2"/>
    <x v="1"/>
    <x v="5"/>
    <x v="47"/>
    <x v="0"/>
    <x v="4"/>
  </r>
  <r>
    <x v="24"/>
    <x v="405"/>
    <x v="1"/>
    <x v="6"/>
    <x v="6"/>
    <x v="1"/>
    <x v="0"/>
    <x v="28"/>
    <x v="282"/>
    <x v="0"/>
    <x v="4"/>
  </r>
  <r>
    <x v="24"/>
    <x v="406"/>
    <x v="1"/>
    <x v="7"/>
    <x v="7"/>
    <x v="3"/>
    <x v="2"/>
    <x v="6"/>
    <x v="119"/>
    <x v="0"/>
    <x v="4"/>
  </r>
  <r>
    <x v="24"/>
    <x v="407"/>
    <x v="1"/>
    <x v="1"/>
    <x v="1"/>
    <x v="8"/>
    <x v="7"/>
    <x v="0"/>
    <x v="2"/>
    <x v="0"/>
    <x v="4"/>
  </r>
  <r>
    <x v="24"/>
    <x v="408"/>
    <x v="2"/>
    <x v="10"/>
    <x v="10"/>
    <x v="1"/>
    <x v="0"/>
    <x v="16"/>
    <x v="314"/>
    <x v="0"/>
    <x v="4"/>
  </r>
  <r>
    <x v="24"/>
    <x v="409"/>
    <x v="2"/>
    <x v="8"/>
    <x v="8"/>
    <x v="1"/>
    <x v="0"/>
    <x v="14"/>
    <x v="258"/>
    <x v="0"/>
    <x v="4"/>
  </r>
  <r>
    <x v="24"/>
    <x v="410"/>
    <x v="3"/>
    <x v="7"/>
    <x v="7"/>
    <x v="1"/>
    <x v="0"/>
    <x v="26"/>
    <x v="293"/>
    <x v="0"/>
    <x v="4"/>
  </r>
  <r>
    <x v="24"/>
    <x v="411"/>
    <x v="4"/>
    <x v="4"/>
    <x v="4"/>
    <x v="1"/>
    <x v="0"/>
    <x v="35"/>
    <x v="245"/>
    <x v="0"/>
    <x v="4"/>
  </r>
  <r>
    <x v="24"/>
    <x v="412"/>
    <x v="4"/>
    <x v="0"/>
    <x v="0"/>
    <x v="1"/>
    <x v="0"/>
    <x v="49"/>
    <x v="144"/>
    <x v="0"/>
    <x v="4"/>
  </r>
  <r>
    <x v="24"/>
    <x v="413"/>
    <x v="4"/>
    <x v="9"/>
    <x v="9"/>
    <x v="4"/>
    <x v="3"/>
    <x v="14"/>
    <x v="292"/>
    <x v="0"/>
    <x v="4"/>
  </r>
  <r>
    <x v="24"/>
    <x v="414"/>
    <x v="5"/>
    <x v="7"/>
    <x v="7"/>
    <x v="1"/>
    <x v="0"/>
    <x v="20"/>
    <x v="265"/>
    <x v="0"/>
    <x v="4"/>
  </r>
  <r>
    <x v="24"/>
    <x v="415"/>
    <x v="5"/>
    <x v="1"/>
    <x v="1"/>
    <x v="1"/>
    <x v="0"/>
    <x v="42"/>
    <x v="169"/>
    <x v="0"/>
    <x v="4"/>
  </r>
  <r>
    <x v="25"/>
    <x v="416"/>
    <x v="0"/>
    <x v="3"/>
    <x v="3"/>
    <x v="1"/>
    <x v="0"/>
    <x v="24"/>
    <x v="168"/>
    <x v="0"/>
    <x v="4"/>
  </r>
  <r>
    <x v="25"/>
    <x v="417"/>
    <x v="0"/>
    <x v="5"/>
    <x v="5"/>
    <x v="5"/>
    <x v="4"/>
    <x v="11"/>
    <x v="110"/>
    <x v="0"/>
    <x v="4"/>
  </r>
  <r>
    <x v="25"/>
    <x v="418"/>
    <x v="0"/>
    <x v="1"/>
    <x v="1"/>
    <x v="1"/>
    <x v="0"/>
    <x v="0"/>
    <x v="2"/>
    <x v="0"/>
    <x v="4"/>
  </r>
  <r>
    <x v="25"/>
    <x v="419"/>
    <x v="1"/>
    <x v="11"/>
    <x v="11"/>
    <x v="7"/>
    <x v="6"/>
    <x v="3"/>
    <x v="226"/>
    <x v="0"/>
    <x v="4"/>
  </r>
  <r>
    <x v="25"/>
    <x v="420"/>
    <x v="2"/>
    <x v="10"/>
    <x v="10"/>
    <x v="9"/>
    <x v="8"/>
    <x v="7"/>
    <x v="255"/>
    <x v="0"/>
    <x v="4"/>
  </r>
  <r>
    <x v="25"/>
    <x v="421"/>
    <x v="2"/>
    <x v="4"/>
    <x v="4"/>
    <x v="1"/>
    <x v="0"/>
    <x v="33"/>
    <x v="235"/>
    <x v="0"/>
    <x v="4"/>
  </r>
  <r>
    <x v="25"/>
    <x v="422"/>
    <x v="2"/>
    <x v="0"/>
    <x v="0"/>
    <x v="1"/>
    <x v="0"/>
    <x v="36"/>
    <x v="101"/>
    <x v="0"/>
    <x v="4"/>
  </r>
  <r>
    <x v="25"/>
    <x v="423"/>
    <x v="2"/>
    <x v="2"/>
    <x v="2"/>
    <x v="1"/>
    <x v="0"/>
    <x v="51"/>
    <x v="231"/>
    <x v="0"/>
    <x v="4"/>
  </r>
  <r>
    <x v="25"/>
    <x v="424"/>
    <x v="3"/>
    <x v="7"/>
    <x v="7"/>
    <x v="1"/>
    <x v="0"/>
    <x v="28"/>
    <x v="300"/>
    <x v="0"/>
    <x v="4"/>
  </r>
  <r>
    <x v="25"/>
    <x v="425"/>
    <x v="3"/>
    <x v="5"/>
    <x v="5"/>
    <x v="1"/>
    <x v="0"/>
    <x v="33"/>
    <x v="258"/>
    <x v="0"/>
    <x v="4"/>
  </r>
  <r>
    <x v="25"/>
    <x v="426"/>
    <x v="3"/>
    <x v="11"/>
    <x v="11"/>
    <x v="1"/>
    <x v="0"/>
    <x v="6"/>
    <x v="282"/>
    <x v="0"/>
    <x v="4"/>
  </r>
  <r>
    <x v="25"/>
    <x v="427"/>
    <x v="3"/>
    <x v="0"/>
    <x v="0"/>
    <x v="1"/>
    <x v="0"/>
    <x v="31"/>
    <x v="84"/>
    <x v="0"/>
    <x v="4"/>
  </r>
  <r>
    <x v="25"/>
    <x v="428"/>
    <x v="4"/>
    <x v="2"/>
    <x v="2"/>
    <x v="1"/>
    <x v="0"/>
    <x v="47"/>
    <x v="218"/>
    <x v="0"/>
    <x v="4"/>
  </r>
  <r>
    <x v="25"/>
    <x v="429"/>
    <x v="4"/>
    <x v="2"/>
    <x v="2"/>
    <x v="1"/>
    <x v="0"/>
    <x v="26"/>
    <x v="127"/>
    <x v="0"/>
    <x v="4"/>
  </r>
  <r>
    <x v="25"/>
    <x v="430"/>
    <x v="4"/>
    <x v="6"/>
    <x v="6"/>
    <x v="3"/>
    <x v="2"/>
    <x v="7"/>
    <x v="110"/>
    <x v="0"/>
    <x v="4"/>
  </r>
  <r>
    <x v="25"/>
    <x v="431"/>
    <x v="4"/>
    <x v="11"/>
    <x v="11"/>
    <x v="9"/>
    <x v="8"/>
    <x v="2"/>
    <x v="202"/>
    <x v="0"/>
    <x v="4"/>
  </r>
  <r>
    <x v="25"/>
    <x v="432"/>
    <x v="5"/>
    <x v="6"/>
    <x v="6"/>
    <x v="2"/>
    <x v="1"/>
    <x v="29"/>
    <x v="285"/>
    <x v="0"/>
    <x v="4"/>
  </r>
  <r>
    <x v="25"/>
    <x v="433"/>
    <x v="5"/>
    <x v="4"/>
    <x v="4"/>
    <x v="7"/>
    <x v="6"/>
    <x v="41"/>
    <x v="269"/>
    <x v="0"/>
    <x v="4"/>
  </r>
  <r>
    <x v="26"/>
    <x v="434"/>
    <x v="0"/>
    <x v="11"/>
    <x v="11"/>
    <x v="6"/>
    <x v="5"/>
    <x v="7"/>
    <x v="291"/>
    <x v="1"/>
    <x v="4"/>
  </r>
  <r>
    <x v="26"/>
    <x v="435"/>
    <x v="0"/>
    <x v="11"/>
    <x v="11"/>
    <x v="6"/>
    <x v="5"/>
    <x v="3"/>
    <x v="226"/>
    <x v="1"/>
    <x v="4"/>
  </r>
  <r>
    <x v="26"/>
    <x v="436"/>
    <x v="1"/>
    <x v="4"/>
    <x v="4"/>
    <x v="1"/>
    <x v="0"/>
    <x v="12"/>
    <x v="98"/>
    <x v="1"/>
    <x v="4"/>
  </r>
  <r>
    <x v="26"/>
    <x v="437"/>
    <x v="2"/>
    <x v="9"/>
    <x v="9"/>
    <x v="1"/>
    <x v="0"/>
    <x v="4"/>
    <x v="166"/>
    <x v="1"/>
    <x v="4"/>
  </r>
  <r>
    <x v="26"/>
    <x v="438"/>
    <x v="2"/>
    <x v="3"/>
    <x v="3"/>
    <x v="6"/>
    <x v="5"/>
    <x v="10"/>
    <x v="72"/>
    <x v="1"/>
    <x v="4"/>
  </r>
  <r>
    <x v="26"/>
    <x v="439"/>
    <x v="3"/>
    <x v="3"/>
    <x v="3"/>
    <x v="1"/>
    <x v="0"/>
    <x v="18"/>
    <x v="127"/>
    <x v="1"/>
    <x v="4"/>
  </r>
  <r>
    <x v="26"/>
    <x v="440"/>
    <x v="4"/>
    <x v="8"/>
    <x v="8"/>
    <x v="1"/>
    <x v="0"/>
    <x v="21"/>
    <x v="299"/>
    <x v="1"/>
    <x v="4"/>
  </r>
  <r>
    <x v="26"/>
    <x v="441"/>
    <x v="4"/>
    <x v="11"/>
    <x v="11"/>
    <x v="1"/>
    <x v="0"/>
    <x v="10"/>
    <x v="310"/>
    <x v="1"/>
    <x v="4"/>
  </r>
  <r>
    <x v="26"/>
    <x v="442"/>
    <x v="5"/>
    <x v="10"/>
    <x v="10"/>
    <x v="1"/>
    <x v="0"/>
    <x v="11"/>
    <x v="296"/>
    <x v="1"/>
    <x v="4"/>
  </r>
  <r>
    <x v="26"/>
    <x v="443"/>
    <x v="5"/>
    <x v="1"/>
    <x v="1"/>
    <x v="1"/>
    <x v="0"/>
    <x v="22"/>
    <x v="85"/>
    <x v="1"/>
    <x v="4"/>
  </r>
  <r>
    <x v="26"/>
    <x v="444"/>
    <x v="5"/>
    <x v="2"/>
    <x v="2"/>
    <x v="1"/>
    <x v="0"/>
    <x v="11"/>
    <x v="51"/>
    <x v="1"/>
    <x v="4"/>
  </r>
  <r>
    <x v="27"/>
    <x v="445"/>
    <x v="0"/>
    <x v="2"/>
    <x v="2"/>
    <x v="5"/>
    <x v="4"/>
    <x v="54"/>
    <x v="242"/>
    <x v="1"/>
    <x v="4"/>
  </r>
  <r>
    <x v="27"/>
    <x v="446"/>
    <x v="0"/>
    <x v="0"/>
    <x v="0"/>
    <x v="1"/>
    <x v="0"/>
    <x v="52"/>
    <x v="152"/>
    <x v="1"/>
    <x v="4"/>
  </r>
  <r>
    <x v="27"/>
    <x v="447"/>
    <x v="0"/>
    <x v="0"/>
    <x v="0"/>
    <x v="5"/>
    <x v="4"/>
    <x v="23"/>
    <x v="60"/>
    <x v="1"/>
    <x v="4"/>
  </r>
  <r>
    <x v="27"/>
    <x v="448"/>
    <x v="0"/>
    <x v="3"/>
    <x v="3"/>
    <x v="9"/>
    <x v="8"/>
    <x v="0"/>
    <x v="8"/>
    <x v="1"/>
    <x v="4"/>
  </r>
  <r>
    <x v="27"/>
    <x v="449"/>
    <x v="0"/>
    <x v="10"/>
    <x v="10"/>
    <x v="2"/>
    <x v="1"/>
    <x v="14"/>
    <x v="309"/>
    <x v="1"/>
    <x v="4"/>
  </r>
  <r>
    <x v="27"/>
    <x v="450"/>
    <x v="1"/>
    <x v="7"/>
    <x v="7"/>
    <x v="1"/>
    <x v="0"/>
    <x v="3"/>
    <x v="76"/>
    <x v="1"/>
    <x v="4"/>
  </r>
  <r>
    <x v="27"/>
    <x v="451"/>
    <x v="1"/>
    <x v="0"/>
    <x v="0"/>
    <x v="9"/>
    <x v="8"/>
    <x v="6"/>
    <x v="9"/>
    <x v="1"/>
    <x v="4"/>
  </r>
  <r>
    <x v="27"/>
    <x v="452"/>
    <x v="1"/>
    <x v="3"/>
    <x v="3"/>
    <x v="1"/>
    <x v="0"/>
    <x v="23"/>
    <x v="161"/>
    <x v="1"/>
    <x v="4"/>
  </r>
  <r>
    <x v="27"/>
    <x v="453"/>
    <x v="1"/>
    <x v="10"/>
    <x v="10"/>
    <x v="2"/>
    <x v="1"/>
    <x v="3"/>
    <x v="180"/>
    <x v="1"/>
    <x v="4"/>
  </r>
  <r>
    <x v="27"/>
    <x v="454"/>
    <x v="2"/>
    <x v="9"/>
    <x v="9"/>
    <x v="5"/>
    <x v="4"/>
    <x v="8"/>
    <x v="230"/>
    <x v="1"/>
    <x v="4"/>
  </r>
  <r>
    <x v="27"/>
    <x v="455"/>
    <x v="2"/>
    <x v="0"/>
    <x v="0"/>
    <x v="6"/>
    <x v="5"/>
    <x v="42"/>
    <x v="120"/>
    <x v="1"/>
    <x v="4"/>
  </r>
  <r>
    <x v="27"/>
    <x v="456"/>
    <x v="3"/>
    <x v="2"/>
    <x v="2"/>
    <x v="2"/>
    <x v="1"/>
    <x v="40"/>
    <x v="192"/>
    <x v="1"/>
    <x v="4"/>
  </r>
  <r>
    <x v="27"/>
    <x v="457"/>
    <x v="3"/>
    <x v="8"/>
    <x v="8"/>
    <x v="8"/>
    <x v="7"/>
    <x v="26"/>
    <x v="311"/>
    <x v="1"/>
    <x v="4"/>
  </r>
  <r>
    <x v="27"/>
    <x v="458"/>
    <x v="3"/>
    <x v="4"/>
    <x v="4"/>
    <x v="1"/>
    <x v="0"/>
    <x v="28"/>
    <x v="208"/>
    <x v="1"/>
    <x v="4"/>
  </r>
  <r>
    <x v="27"/>
    <x v="459"/>
    <x v="4"/>
    <x v="0"/>
    <x v="0"/>
    <x v="1"/>
    <x v="0"/>
    <x v="52"/>
    <x v="152"/>
    <x v="1"/>
    <x v="4"/>
  </r>
  <r>
    <x v="27"/>
    <x v="460"/>
    <x v="5"/>
    <x v="8"/>
    <x v="8"/>
    <x v="8"/>
    <x v="7"/>
    <x v="4"/>
    <x v="126"/>
    <x v="1"/>
    <x v="4"/>
  </r>
  <r>
    <x v="28"/>
    <x v="461"/>
    <x v="0"/>
    <x v="10"/>
    <x v="10"/>
    <x v="8"/>
    <x v="7"/>
    <x v="13"/>
    <x v="307"/>
    <x v="1"/>
    <x v="4"/>
  </r>
  <r>
    <x v="28"/>
    <x v="462"/>
    <x v="1"/>
    <x v="1"/>
    <x v="1"/>
    <x v="3"/>
    <x v="2"/>
    <x v="44"/>
    <x v="176"/>
    <x v="1"/>
    <x v="4"/>
  </r>
  <r>
    <x v="28"/>
    <x v="463"/>
    <x v="2"/>
    <x v="11"/>
    <x v="11"/>
    <x v="2"/>
    <x v="1"/>
    <x v="5"/>
    <x v="267"/>
    <x v="1"/>
    <x v="4"/>
  </r>
  <r>
    <x v="28"/>
    <x v="464"/>
    <x v="2"/>
    <x v="4"/>
    <x v="4"/>
    <x v="9"/>
    <x v="8"/>
    <x v="9"/>
    <x v="74"/>
    <x v="1"/>
    <x v="4"/>
  </r>
  <r>
    <x v="28"/>
    <x v="465"/>
    <x v="2"/>
    <x v="0"/>
    <x v="0"/>
    <x v="4"/>
    <x v="3"/>
    <x v="9"/>
    <x v="17"/>
    <x v="1"/>
    <x v="4"/>
  </r>
  <r>
    <x v="28"/>
    <x v="466"/>
    <x v="3"/>
    <x v="4"/>
    <x v="4"/>
    <x v="6"/>
    <x v="5"/>
    <x v="44"/>
    <x v="280"/>
    <x v="1"/>
    <x v="4"/>
  </r>
  <r>
    <x v="28"/>
    <x v="467"/>
    <x v="4"/>
    <x v="7"/>
    <x v="7"/>
    <x v="7"/>
    <x v="6"/>
    <x v="17"/>
    <x v="241"/>
    <x v="1"/>
    <x v="4"/>
  </r>
  <r>
    <x v="28"/>
    <x v="468"/>
    <x v="4"/>
    <x v="1"/>
    <x v="1"/>
    <x v="1"/>
    <x v="0"/>
    <x v="27"/>
    <x v="110"/>
    <x v="1"/>
    <x v="4"/>
  </r>
  <r>
    <x v="28"/>
    <x v="469"/>
    <x v="4"/>
    <x v="4"/>
    <x v="4"/>
    <x v="1"/>
    <x v="0"/>
    <x v="4"/>
    <x v="42"/>
    <x v="1"/>
    <x v="4"/>
  </r>
  <r>
    <x v="28"/>
    <x v="470"/>
    <x v="5"/>
    <x v="11"/>
    <x v="11"/>
    <x v="7"/>
    <x v="6"/>
    <x v="5"/>
    <x v="267"/>
    <x v="1"/>
    <x v="4"/>
  </r>
  <r>
    <x v="28"/>
    <x v="471"/>
    <x v="5"/>
    <x v="0"/>
    <x v="0"/>
    <x v="1"/>
    <x v="0"/>
    <x v="32"/>
    <x v="88"/>
    <x v="1"/>
    <x v="4"/>
  </r>
  <r>
    <x v="29"/>
    <x v="472"/>
    <x v="0"/>
    <x v="1"/>
    <x v="1"/>
    <x v="1"/>
    <x v="0"/>
    <x v="17"/>
    <x v="64"/>
    <x v="1"/>
    <x v="4"/>
  </r>
  <r>
    <x v="29"/>
    <x v="473"/>
    <x v="0"/>
    <x v="6"/>
    <x v="6"/>
    <x v="1"/>
    <x v="0"/>
    <x v="14"/>
    <x v="182"/>
    <x v="1"/>
    <x v="4"/>
  </r>
  <r>
    <x v="29"/>
    <x v="474"/>
    <x v="0"/>
    <x v="3"/>
    <x v="3"/>
    <x v="8"/>
    <x v="7"/>
    <x v="13"/>
    <x v="93"/>
    <x v="1"/>
    <x v="4"/>
  </r>
  <r>
    <x v="29"/>
    <x v="475"/>
    <x v="1"/>
    <x v="0"/>
    <x v="0"/>
    <x v="1"/>
    <x v="0"/>
    <x v="21"/>
    <x v="54"/>
    <x v="1"/>
    <x v="4"/>
  </r>
  <r>
    <x v="29"/>
    <x v="476"/>
    <x v="1"/>
    <x v="9"/>
    <x v="9"/>
    <x v="0"/>
    <x v="9"/>
    <x v="15"/>
    <x v="298"/>
    <x v="1"/>
    <x v="4"/>
  </r>
  <r>
    <x v="29"/>
    <x v="477"/>
    <x v="1"/>
    <x v="9"/>
    <x v="9"/>
    <x v="8"/>
    <x v="7"/>
    <x v="4"/>
    <x v="166"/>
    <x v="1"/>
    <x v="4"/>
  </r>
  <r>
    <x v="29"/>
    <x v="478"/>
    <x v="1"/>
    <x v="2"/>
    <x v="2"/>
    <x v="1"/>
    <x v="0"/>
    <x v="16"/>
    <x v="74"/>
    <x v="1"/>
    <x v="4"/>
  </r>
  <r>
    <x v="29"/>
    <x v="479"/>
    <x v="2"/>
    <x v="5"/>
    <x v="5"/>
    <x v="1"/>
    <x v="0"/>
    <x v="24"/>
    <x v="207"/>
    <x v="1"/>
    <x v="4"/>
  </r>
  <r>
    <x v="29"/>
    <x v="480"/>
    <x v="2"/>
    <x v="1"/>
    <x v="1"/>
    <x v="1"/>
    <x v="0"/>
    <x v="29"/>
    <x v="117"/>
    <x v="1"/>
    <x v="4"/>
  </r>
  <r>
    <x v="29"/>
    <x v="481"/>
    <x v="3"/>
    <x v="2"/>
    <x v="2"/>
    <x v="1"/>
    <x v="0"/>
    <x v="59"/>
    <x v="256"/>
    <x v="1"/>
    <x v="4"/>
  </r>
  <r>
    <x v="29"/>
    <x v="482"/>
    <x v="4"/>
    <x v="1"/>
    <x v="1"/>
    <x v="1"/>
    <x v="0"/>
    <x v="4"/>
    <x v="13"/>
    <x v="1"/>
    <x v="4"/>
  </r>
  <r>
    <x v="29"/>
    <x v="483"/>
    <x v="4"/>
    <x v="9"/>
    <x v="9"/>
    <x v="3"/>
    <x v="2"/>
    <x v="4"/>
    <x v="166"/>
    <x v="1"/>
    <x v="4"/>
  </r>
  <r>
    <x v="29"/>
    <x v="484"/>
    <x v="4"/>
    <x v="6"/>
    <x v="6"/>
    <x v="6"/>
    <x v="5"/>
    <x v="9"/>
    <x v="131"/>
    <x v="1"/>
    <x v="4"/>
  </r>
  <r>
    <x v="29"/>
    <x v="485"/>
    <x v="5"/>
    <x v="3"/>
    <x v="3"/>
    <x v="0"/>
    <x v="9"/>
    <x v="39"/>
    <x v="243"/>
    <x v="1"/>
    <x v="4"/>
  </r>
  <r>
    <x v="30"/>
    <x v="486"/>
    <x v="0"/>
    <x v="5"/>
    <x v="5"/>
    <x v="1"/>
    <x v="0"/>
    <x v="4"/>
    <x v="48"/>
    <x v="1"/>
    <x v="5"/>
  </r>
  <r>
    <x v="30"/>
    <x v="487"/>
    <x v="0"/>
    <x v="9"/>
    <x v="9"/>
    <x v="4"/>
    <x v="3"/>
    <x v="7"/>
    <x v="216"/>
    <x v="1"/>
    <x v="5"/>
  </r>
  <r>
    <x v="30"/>
    <x v="488"/>
    <x v="1"/>
    <x v="7"/>
    <x v="7"/>
    <x v="1"/>
    <x v="0"/>
    <x v="12"/>
    <x v="194"/>
    <x v="1"/>
    <x v="5"/>
  </r>
  <r>
    <x v="30"/>
    <x v="489"/>
    <x v="1"/>
    <x v="5"/>
    <x v="5"/>
    <x v="1"/>
    <x v="0"/>
    <x v="4"/>
    <x v="48"/>
    <x v="1"/>
    <x v="5"/>
  </r>
  <r>
    <x v="30"/>
    <x v="490"/>
    <x v="2"/>
    <x v="1"/>
    <x v="1"/>
    <x v="1"/>
    <x v="0"/>
    <x v="51"/>
    <x v="202"/>
    <x v="1"/>
    <x v="5"/>
  </r>
  <r>
    <x v="30"/>
    <x v="491"/>
    <x v="2"/>
    <x v="6"/>
    <x v="6"/>
    <x v="5"/>
    <x v="4"/>
    <x v="11"/>
    <x v="153"/>
    <x v="1"/>
    <x v="5"/>
  </r>
  <r>
    <x v="30"/>
    <x v="492"/>
    <x v="2"/>
    <x v="8"/>
    <x v="8"/>
    <x v="0"/>
    <x v="9"/>
    <x v="23"/>
    <x v="306"/>
    <x v="1"/>
    <x v="5"/>
  </r>
  <r>
    <x v="30"/>
    <x v="493"/>
    <x v="2"/>
    <x v="3"/>
    <x v="3"/>
    <x v="2"/>
    <x v="1"/>
    <x v="8"/>
    <x v="59"/>
    <x v="1"/>
    <x v="5"/>
  </r>
  <r>
    <x v="30"/>
    <x v="494"/>
    <x v="3"/>
    <x v="8"/>
    <x v="8"/>
    <x v="7"/>
    <x v="6"/>
    <x v="18"/>
    <x v="288"/>
    <x v="1"/>
    <x v="5"/>
  </r>
  <r>
    <x v="30"/>
    <x v="495"/>
    <x v="3"/>
    <x v="4"/>
    <x v="4"/>
    <x v="1"/>
    <x v="0"/>
    <x v="12"/>
    <x v="98"/>
    <x v="1"/>
    <x v="5"/>
  </r>
  <r>
    <x v="30"/>
    <x v="496"/>
    <x v="4"/>
    <x v="9"/>
    <x v="9"/>
    <x v="0"/>
    <x v="9"/>
    <x v="17"/>
    <x v="305"/>
    <x v="1"/>
    <x v="5"/>
  </r>
  <r>
    <x v="30"/>
    <x v="497"/>
    <x v="5"/>
    <x v="0"/>
    <x v="0"/>
    <x v="1"/>
    <x v="0"/>
    <x v="13"/>
    <x v="31"/>
    <x v="1"/>
    <x v="5"/>
  </r>
  <r>
    <x v="30"/>
    <x v="498"/>
    <x v="5"/>
    <x v="6"/>
    <x v="6"/>
    <x v="3"/>
    <x v="2"/>
    <x v="4"/>
    <x v="73"/>
    <x v="1"/>
    <x v="5"/>
  </r>
  <r>
    <x v="30"/>
    <x v="499"/>
    <x v="5"/>
    <x v="11"/>
    <x v="11"/>
    <x v="1"/>
    <x v="0"/>
    <x v="6"/>
    <x v="282"/>
    <x v="1"/>
    <x v="5"/>
  </r>
  <r>
    <x v="31"/>
    <x v="500"/>
    <x v="0"/>
    <x v="9"/>
    <x v="9"/>
    <x v="1"/>
    <x v="0"/>
    <x v="10"/>
    <x v="260"/>
    <x v="1"/>
    <x v="5"/>
  </r>
  <r>
    <x v="31"/>
    <x v="501"/>
    <x v="0"/>
    <x v="1"/>
    <x v="1"/>
    <x v="1"/>
    <x v="0"/>
    <x v="35"/>
    <x v="142"/>
    <x v="1"/>
    <x v="5"/>
  </r>
  <r>
    <x v="31"/>
    <x v="502"/>
    <x v="0"/>
    <x v="11"/>
    <x v="11"/>
    <x v="1"/>
    <x v="0"/>
    <x v="0"/>
    <x v="142"/>
    <x v="1"/>
    <x v="5"/>
  </r>
  <r>
    <x v="31"/>
    <x v="503"/>
    <x v="0"/>
    <x v="6"/>
    <x v="6"/>
    <x v="1"/>
    <x v="0"/>
    <x v="28"/>
    <x v="282"/>
    <x v="1"/>
    <x v="5"/>
  </r>
  <r>
    <x v="31"/>
    <x v="504"/>
    <x v="0"/>
    <x v="7"/>
    <x v="7"/>
    <x v="1"/>
    <x v="0"/>
    <x v="18"/>
    <x v="249"/>
    <x v="1"/>
    <x v="5"/>
  </r>
  <r>
    <x v="31"/>
    <x v="505"/>
    <x v="1"/>
    <x v="0"/>
    <x v="0"/>
    <x v="7"/>
    <x v="6"/>
    <x v="50"/>
    <x v="146"/>
    <x v="1"/>
    <x v="5"/>
  </r>
  <r>
    <x v="31"/>
    <x v="506"/>
    <x v="1"/>
    <x v="5"/>
    <x v="5"/>
    <x v="0"/>
    <x v="9"/>
    <x v="38"/>
    <x v="278"/>
    <x v="1"/>
    <x v="5"/>
  </r>
  <r>
    <x v="31"/>
    <x v="507"/>
    <x v="2"/>
    <x v="6"/>
    <x v="6"/>
    <x v="9"/>
    <x v="8"/>
    <x v="21"/>
    <x v="240"/>
    <x v="1"/>
    <x v="5"/>
  </r>
  <r>
    <x v="31"/>
    <x v="508"/>
    <x v="2"/>
    <x v="2"/>
    <x v="2"/>
    <x v="1"/>
    <x v="0"/>
    <x v="29"/>
    <x v="143"/>
    <x v="1"/>
    <x v="5"/>
  </r>
  <r>
    <x v="31"/>
    <x v="509"/>
    <x v="3"/>
    <x v="5"/>
    <x v="5"/>
    <x v="1"/>
    <x v="0"/>
    <x v="4"/>
    <x v="48"/>
    <x v="1"/>
    <x v="5"/>
  </r>
  <r>
    <x v="31"/>
    <x v="510"/>
    <x v="4"/>
    <x v="0"/>
    <x v="0"/>
    <x v="9"/>
    <x v="8"/>
    <x v="38"/>
    <x v="109"/>
    <x v="1"/>
    <x v="5"/>
  </r>
  <r>
    <x v="31"/>
    <x v="511"/>
    <x v="5"/>
    <x v="6"/>
    <x v="6"/>
    <x v="1"/>
    <x v="0"/>
    <x v="17"/>
    <x v="209"/>
    <x v="1"/>
    <x v="5"/>
  </r>
  <r>
    <x v="32"/>
    <x v="512"/>
    <x v="0"/>
    <x v="8"/>
    <x v="8"/>
    <x v="1"/>
    <x v="0"/>
    <x v="27"/>
    <x v="313"/>
    <x v="1"/>
    <x v="5"/>
  </r>
  <r>
    <x v="32"/>
    <x v="513"/>
    <x v="0"/>
    <x v="6"/>
    <x v="6"/>
    <x v="8"/>
    <x v="7"/>
    <x v="29"/>
    <x v="285"/>
    <x v="1"/>
    <x v="5"/>
  </r>
  <r>
    <x v="32"/>
    <x v="514"/>
    <x v="1"/>
    <x v="1"/>
    <x v="1"/>
    <x v="1"/>
    <x v="0"/>
    <x v="26"/>
    <x v="103"/>
    <x v="1"/>
    <x v="5"/>
  </r>
  <r>
    <x v="32"/>
    <x v="515"/>
    <x v="2"/>
    <x v="10"/>
    <x v="10"/>
    <x v="3"/>
    <x v="2"/>
    <x v="13"/>
    <x v="307"/>
    <x v="1"/>
    <x v="5"/>
  </r>
  <r>
    <x v="32"/>
    <x v="516"/>
    <x v="2"/>
    <x v="0"/>
    <x v="0"/>
    <x v="6"/>
    <x v="5"/>
    <x v="15"/>
    <x v="36"/>
    <x v="1"/>
    <x v="5"/>
  </r>
  <r>
    <x v="32"/>
    <x v="517"/>
    <x v="2"/>
    <x v="0"/>
    <x v="0"/>
    <x v="1"/>
    <x v="0"/>
    <x v="46"/>
    <x v="135"/>
    <x v="1"/>
    <x v="5"/>
  </r>
  <r>
    <x v="32"/>
    <x v="518"/>
    <x v="2"/>
    <x v="5"/>
    <x v="5"/>
    <x v="1"/>
    <x v="0"/>
    <x v="35"/>
    <x v="267"/>
    <x v="1"/>
    <x v="5"/>
  </r>
  <r>
    <x v="32"/>
    <x v="519"/>
    <x v="2"/>
    <x v="10"/>
    <x v="10"/>
    <x v="5"/>
    <x v="4"/>
    <x v="14"/>
    <x v="309"/>
    <x v="1"/>
    <x v="5"/>
  </r>
  <r>
    <x v="32"/>
    <x v="520"/>
    <x v="3"/>
    <x v="1"/>
    <x v="1"/>
    <x v="1"/>
    <x v="0"/>
    <x v="18"/>
    <x v="68"/>
    <x v="1"/>
    <x v="5"/>
  </r>
  <r>
    <x v="32"/>
    <x v="521"/>
    <x v="3"/>
    <x v="4"/>
    <x v="4"/>
    <x v="1"/>
    <x v="0"/>
    <x v="20"/>
    <x v="160"/>
    <x v="1"/>
    <x v="5"/>
  </r>
  <r>
    <x v="32"/>
    <x v="522"/>
    <x v="3"/>
    <x v="11"/>
    <x v="11"/>
    <x v="1"/>
    <x v="0"/>
    <x v="7"/>
    <x v="291"/>
    <x v="1"/>
    <x v="5"/>
  </r>
  <r>
    <x v="32"/>
    <x v="523"/>
    <x v="4"/>
    <x v="2"/>
    <x v="2"/>
    <x v="1"/>
    <x v="0"/>
    <x v="21"/>
    <x v="102"/>
    <x v="1"/>
    <x v="5"/>
  </r>
  <r>
    <x v="32"/>
    <x v="524"/>
    <x v="4"/>
    <x v="5"/>
    <x v="5"/>
    <x v="7"/>
    <x v="6"/>
    <x v="30"/>
    <x v="244"/>
    <x v="1"/>
    <x v="5"/>
  </r>
  <r>
    <x v="32"/>
    <x v="525"/>
    <x v="5"/>
    <x v="2"/>
    <x v="2"/>
    <x v="4"/>
    <x v="3"/>
    <x v="24"/>
    <x v="118"/>
    <x v="1"/>
    <x v="5"/>
  </r>
  <r>
    <x v="33"/>
    <x v="526"/>
    <x v="0"/>
    <x v="3"/>
    <x v="3"/>
    <x v="9"/>
    <x v="8"/>
    <x v="29"/>
    <x v="196"/>
    <x v="1"/>
    <x v="5"/>
  </r>
  <r>
    <x v="33"/>
    <x v="527"/>
    <x v="1"/>
    <x v="8"/>
    <x v="8"/>
    <x v="1"/>
    <x v="0"/>
    <x v="5"/>
    <x v="142"/>
    <x v="1"/>
    <x v="5"/>
  </r>
  <r>
    <x v="33"/>
    <x v="528"/>
    <x v="1"/>
    <x v="6"/>
    <x v="6"/>
    <x v="1"/>
    <x v="0"/>
    <x v="5"/>
    <x v="83"/>
    <x v="1"/>
    <x v="5"/>
  </r>
  <r>
    <x v="33"/>
    <x v="529"/>
    <x v="2"/>
    <x v="0"/>
    <x v="0"/>
    <x v="1"/>
    <x v="0"/>
    <x v="43"/>
    <x v="125"/>
    <x v="1"/>
    <x v="5"/>
  </r>
  <r>
    <x v="33"/>
    <x v="530"/>
    <x v="2"/>
    <x v="3"/>
    <x v="3"/>
    <x v="1"/>
    <x v="0"/>
    <x v="44"/>
    <x v="264"/>
    <x v="1"/>
    <x v="5"/>
  </r>
  <r>
    <x v="33"/>
    <x v="531"/>
    <x v="2"/>
    <x v="10"/>
    <x v="10"/>
    <x v="1"/>
    <x v="0"/>
    <x v="14"/>
    <x v="309"/>
    <x v="1"/>
    <x v="5"/>
  </r>
  <r>
    <x v="33"/>
    <x v="532"/>
    <x v="3"/>
    <x v="5"/>
    <x v="5"/>
    <x v="0"/>
    <x v="9"/>
    <x v="30"/>
    <x v="244"/>
    <x v="1"/>
    <x v="5"/>
  </r>
  <r>
    <x v="33"/>
    <x v="533"/>
    <x v="3"/>
    <x v="9"/>
    <x v="9"/>
    <x v="1"/>
    <x v="0"/>
    <x v="10"/>
    <x v="260"/>
    <x v="1"/>
    <x v="5"/>
  </r>
  <r>
    <x v="33"/>
    <x v="534"/>
    <x v="4"/>
    <x v="6"/>
    <x v="6"/>
    <x v="1"/>
    <x v="0"/>
    <x v="23"/>
    <x v="253"/>
    <x v="1"/>
    <x v="5"/>
  </r>
  <r>
    <x v="33"/>
    <x v="535"/>
    <x v="4"/>
    <x v="2"/>
    <x v="2"/>
    <x v="7"/>
    <x v="6"/>
    <x v="33"/>
    <x v="163"/>
    <x v="1"/>
    <x v="5"/>
  </r>
  <r>
    <x v="33"/>
    <x v="536"/>
    <x v="4"/>
    <x v="8"/>
    <x v="8"/>
    <x v="1"/>
    <x v="0"/>
    <x v="21"/>
    <x v="299"/>
    <x v="1"/>
    <x v="5"/>
  </r>
  <r>
    <x v="33"/>
    <x v="537"/>
    <x v="5"/>
    <x v="5"/>
    <x v="5"/>
    <x v="1"/>
    <x v="0"/>
    <x v="16"/>
    <x v="151"/>
    <x v="1"/>
    <x v="5"/>
  </r>
  <r>
    <x v="33"/>
    <x v="538"/>
    <x v="5"/>
    <x v="7"/>
    <x v="7"/>
    <x v="8"/>
    <x v="7"/>
    <x v="24"/>
    <x v="287"/>
    <x v="1"/>
    <x v="5"/>
  </r>
  <r>
    <x v="34"/>
    <x v="539"/>
    <x v="0"/>
    <x v="6"/>
    <x v="6"/>
    <x v="6"/>
    <x v="5"/>
    <x v="21"/>
    <x v="240"/>
    <x v="1"/>
    <x v="5"/>
  </r>
  <r>
    <x v="34"/>
    <x v="540"/>
    <x v="0"/>
    <x v="7"/>
    <x v="7"/>
    <x v="7"/>
    <x v="6"/>
    <x v="2"/>
    <x v="65"/>
    <x v="1"/>
    <x v="5"/>
  </r>
  <r>
    <x v="34"/>
    <x v="541"/>
    <x v="0"/>
    <x v="6"/>
    <x v="6"/>
    <x v="1"/>
    <x v="0"/>
    <x v="9"/>
    <x v="131"/>
    <x v="1"/>
    <x v="5"/>
  </r>
  <r>
    <x v="34"/>
    <x v="542"/>
    <x v="1"/>
    <x v="5"/>
    <x v="5"/>
    <x v="1"/>
    <x v="0"/>
    <x v="10"/>
    <x v="97"/>
    <x v="1"/>
    <x v="5"/>
  </r>
  <r>
    <x v="34"/>
    <x v="543"/>
    <x v="1"/>
    <x v="8"/>
    <x v="8"/>
    <x v="3"/>
    <x v="2"/>
    <x v="24"/>
    <x v="308"/>
    <x v="1"/>
    <x v="5"/>
  </r>
  <r>
    <x v="34"/>
    <x v="544"/>
    <x v="1"/>
    <x v="4"/>
    <x v="4"/>
    <x v="1"/>
    <x v="0"/>
    <x v="6"/>
    <x v="55"/>
    <x v="1"/>
    <x v="5"/>
  </r>
  <r>
    <x v="34"/>
    <x v="545"/>
    <x v="1"/>
    <x v="3"/>
    <x v="3"/>
    <x v="1"/>
    <x v="0"/>
    <x v="1"/>
    <x v="14"/>
    <x v="1"/>
    <x v="5"/>
  </r>
  <r>
    <x v="34"/>
    <x v="546"/>
    <x v="2"/>
    <x v="3"/>
    <x v="3"/>
    <x v="1"/>
    <x v="0"/>
    <x v="26"/>
    <x v="177"/>
    <x v="1"/>
    <x v="5"/>
  </r>
  <r>
    <x v="34"/>
    <x v="547"/>
    <x v="2"/>
    <x v="1"/>
    <x v="1"/>
    <x v="1"/>
    <x v="0"/>
    <x v="38"/>
    <x v="154"/>
    <x v="1"/>
    <x v="5"/>
  </r>
  <r>
    <x v="34"/>
    <x v="548"/>
    <x v="2"/>
    <x v="8"/>
    <x v="8"/>
    <x v="7"/>
    <x v="6"/>
    <x v="23"/>
    <x v="306"/>
    <x v="1"/>
    <x v="5"/>
  </r>
  <r>
    <x v="34"/>
    <x v="549"/>
    <x v="2"/>
    <x v="10"/>
    <x v="10"/>
    <x v="3"/>
    <x v="2"/>
    <x v="7"/>
    <x v="255"/>
    <x v="1"/>
    <x v="5"/>
  </r>
  <r>
    <x v="34"/>
    <x v="550"/>
    <x v="3"/>
    <x v="11"/>
    <x v="11"/>
    <x v="1"/>
    <x v="0"/>
    <x v="10"/>
    <x v="310"/>
    <x v="1"/>
    <x v="5"/>
  </r>
  <r>
    <x v="34"/>
    <x v="551"/>
    <x v="3"/>
    <x v="11"/>
    <x v="11"/>
    <x v="8"/>
    <x v="7"/>
    <x v="8"/>
    <x v="299"/>
    <x v="1"/>
    <x v="5"/>
  </r>
  <r>
    <x v="34"/>
    <x v="552"/>
    <x v="4"/>
    <x v="4"/>
    <x v="4"/>
    <x v="1"/>
    <x v="0"/>
    <x v="34"/>
    <x v="238"/>
    <x v="1"/>
    <x v="5"/>
  </r>
  <r>
    <x v="34"/>
    <x v="553"/>
    <x v="4"/>
    <x v="7"/>
    <x v="7"/>
    <x v="9"/>
    <x v="8"/>
    <x v="24"/>
    <x v="287"/>
    <x v="1"/>
    <x v="5"/>
  </r>
  <r>
    <x v="34"/>
    <x v="554"/>
    <x v="5"/>
    <x v="2"/>
    <x v="2"/>
    <x v="9"/>
    <x v="8"/>
    <x v="26"/>
    <x v="127"/>
    <x v="1"/>
    <x v="5"/>
  </r>
  <r>
    <x v="34"/>
    <x v="555"/>
    <x v="5"/>
    <x v="8"/>
    <x v="8"/>
    <x v="1"/>
    <x v="0"/>
    <x v="29"/>
    <x v="316"/>
    <x v="1"/>
    <x v="5"/>
  </r>
  <r>
    <x v="35"/>
    <x v="556"/>
    <x v="0"/>
    <x v="7"/>
    <x v="7"/>
    <x v="2"/>
    <x v="1"/>
    <x v="12"/>
    <x v="194"/>
    <x v="1"/>
    <x v="5"/>
  </r>
  <r>
    <x v="35"/>
    <x v="557"/>
    <x v="0"/>
    <x v="5"/>
    <x v="5"/>
    <x v="1"/>
    <x v="0"/>
    <x v="8"/>
    <x v="80"/>
    <x v="1"/>
    <x v="5"/>
  </r>
  <r>
    <x v="35"/>
    <x v="558"/>
    <x v="0"/>
    <x v="5"/>
    <x v="5"/>
    <x v="9"/>
    <x v="8"/>
    <x v="38"/>
    <x v="278"/>
    <x v="1"/>
    <x v="5"/>
  </r>
  <r>
    <x v="35"/>
    <x v="559"/>
    <x v="0"/>
    <x v="5"/>
    <x v="5"/>
    <x v="1"/>
    <x v="0"/>
    <x v="31"/>
    <x v="248"/>
    <x v="1"/>
    <x v="5"/>
  </r>
  <r>
    <x v="35"/>
    <x v="560"/>
    <x v="0"/>
    <x v="2"/>
    <x v="2"/>
    <x v="4"/>
    <x v="3"/>
    <x v="42"/>
    <x v="199"/>
    <x v="1"/>
    <x v="5"/>
  </r>
  <r>
    <x v="35"/>
    <x v="561"/>
    <x v="0"/>
    <x v="2"/>
    <x v="2"/>
    <x v="1"/>
    <x v="0"/>
    <x v="8"/>
    <x v="38"/>
    <x v="1"/>
    <x v="5"/>
  </r>
  <r>
    <x v="35"/>
    <x v="562"/>
    <x v="1"/>
    <x v="11"/>
    <x v="11"/>
    <x v="7"/>
    <x v="6"/>
    <x v="2"/>
    <x v="202"/>
    <x v="1"/>
    <x v="5"/>
  </r>
  <r>
    <x v="35"/>
    <x v="563"/>
    <x v="1"/>
    <x v="7"/>
    <x v="7"/>
    <x v="8"/>
    <x v="7"/>
    <x v="16"/>
    <x v="232"/>
    <x v="1"/>
    <x v="5"/>
  </r>
  <r>
    <x v="35"/>
    <x v="564"/>
    <x v="1"/>
    <x v="8"/>
    <x v="8"/>
    <x v="3"/>
    <x v="2"/>
    <x v="17"/>
    <x v="282"/>
    <x v="1"/>
    <x v="5"/>
  </r>
  <r>
    <x v="35"/>
    <x v="565"/>
    <x v="1"/>
    <x v="8"/>
    <x v="8"/>
    <x v="1"/>
    <x v="0"/>
    <x v="26"/>
    <x v="311"/>
    <x v="1"/>
    <x v="5"/>
  </r>
  <r>
    <x v="35"/>
    <x v="566"/>
    <x v="1"/>
    <x v="4"/>
    <x v="4"/>
    <x v="1"/>
    <x v="0"/>
    <x v="7"/>
    <x v="62"/>
    <x v="1"/>
    <x v="5"/>
  </r>
  <r>
    <x v="35"/>
    <x v="567"/>
    <x v="2"/>
    <x v="2"/>
    <x v="2"/>
    <x v="1"/>
    <x v="0"/>
    <x v="25"/>
    <x v="123"/>
    <x v="1"/>
    <x v="5"/>
  </r>
  <r>
    <x v="35"/>
    <x v="568"/>
    <x v="2"/>
    <x v="3"/>
    <x v="3"/>
    <x v="1"/>
    <x v="0"/>
    <x v="32"/>
    <x v="210"/>
    <x v="1"/>
    <x v="5"/>
  </r>
  <r>
    <x v="35"/>
    <x v="569"/>
    <x v="2"/>
    <x v="7"/>
    <x v="7"/>
    <x v="1"/>
    <x v="0"/>
    <x v="20"/>
    <x v="265"/>
    <x v="1"/>
    <x v="5"/>
  </r>
  <r>
    <x v="35"/>
    <x v="570"/>
    <x v="2"/>
    <x v="3"/>
    <x v="3"/>
    <x v="4"/>
    <x v="3"/>
    <x v="24"/>
    <x v="168"/>
    <x v="1"/>
    <x v="5"/>
  </r>
  <r>
    <x v="35"/>
    <x v="571"/>
    <x v="3"/>
    <x v="4"/>
    <x v="4"/>
    <x v="1"/>
    <x v="0"/>
    <x v="14"/>
    <x v="116"/>
    <x v="1"/>
    <x v="5"/>
  </r>
  <r>
    <x v="35"/>
    <x v="572"/>
    <x v="3"/>
    <x v="2"/>
    <x v="2"/>
    <x v="9"/>
    <x v="8"/>
    <x v="11"/>
    <x v="51"/>
    <x v="1"/>
    <x v="5"/>
  </r>
  <r>
    <x v="35"/>
    <x v="573"/>
    <x v="4"/>
    <x v="6"/>
    <x v="6"/>
    <x v="2"/>
    <x v="1"/>
    <x v="17"/>
    <x v="209"/>
    <x v="1"/>
    <x v="5"/>
  </r>
  <r>
    <x v="35"/>
    <x v="574"/>
    <x v="4"/>
    <x v="9"/>
    <x v="9"/>
    <x v="1"/>
    <x v="0"/>
    <x v="15"/>
    <x v="298"/>
    <x v="1"/>
    <x v="5"/>
  </r>
  <r>
    <x v="35"/>
    <x v="575"/>
    <x v="4"/>
    <x v="9"/>
    <x v="9"/>
    <x v="1"/>
    <x v="0"/>
    <x v="5"/>
    <x v="184"/>
    <x v="1"/>
    <x v="5"/>
  </r>
  <r>
    <x v="35"/>
    <x v="576"/>
    <x v="5"/>
    <x v="1"/>
    <x v="1"/>
    <x v="8"/>
    <x v="7"/>
    <x v="1"/>
    <x v="5"/>
    <x v="1"/>
    <x v="5"/>
  </r>
  <r>
    <x v="35"/>
    <x v="577"/>
    <x v="5"/>
    <x v="8"/>
    <x v="8"/>
    <x v="1"/>
    <x v="0"/>
    <x v="3"/>
    <x v="110"/>
    <x v="1"/>
    <x v="5"/>
  </r>
  <r>
    <x v="35"/>
    <x v="578"/>
    <x v="5"/>
    <x v="1"/>
    <x v="1"/>
    <x v="1"/>
    <x v="0"/>
    <x v="18"/>
    <x v="68"/>
    <x v="1"/>
    <x v="5"/>
  </r>
  <r>
    <x v="36"/>
    <x v="579"/>
    <x v="0"/>
    <x v="2"/>
    <x v="2"/>
    <x v="9"/>
    <x v="8"/>
    <x v="40"/>
    <x v="192"/>
    <x v="1"/>
    <x v="6"/>
  </r>
  <r>
    <x v="36"/>
    <x v="580"/>
    <x v="1"/>
    <x v="8"/>
    <x v="8"/>
    <x v="3"/>
    <x v="2"/>
    <x v="1"/>
    <x v="73"/>
    <x v="1"/>
    <x v="6"/>
  </r>
  <r>
    <x v="36"/>
    <x v="581"/>
    <x v="2"/>
    <x v="0"/>
    <x v="0"/>
    <x v="8"/>
    <x v="7"/>
    <x v="11"/>
    <x v="23"/>
    <x v="1"/>
    <x v="6"/>
  </r>
  <r>
    <x v="36"/>
    <x v="582"/>
    <x v="2"/>
    <x v="10"/>
    <x v="10"/>
    <x v="1"/>
    <x v="0"/>
    <x v="6"/>
    <x v="239"/>
    <x v="1"/>
    <x v="6"/>
  </r>
  <r>
    <x v="36"/>
    <x v="583"/>
    <x v="2"/>
    <x v="3"/>
    <x v="3"/>
    <x v="1"/>
    <x v="0"/>
    <x v="14"/>
    <x v="99"/>
    <x v="1"/>
    <x v="6"/>
  </r>
  <r>
    <x v="36"/>
    <x v="584"/>
    <x v="3"/>
    <x v="9"/>
    <x v="9"/>
    <x v="1"/>
    <x v="0"/>
    <x v="5"/>
    <x v="184"/>
    <x v="1"/>
    <x v="6"/>
  </r>
  <r>
    <x v="36"/>
    <x v="585"/>
    <x v="4"/>
    <x v="0"/>
    <x v="0"/>
    <x v="4"/>
    <x v="3"/>
    <x v="15"/>
    <x v="36"/>
    <x v="1"/>
    <x v="6"/>
  </r>
  <r>
    <x v="36"/>
    <x v="586"/>
    <x v="4"/>
    <x v="8"/>
    <x v="8"/>
    <x v="1"/>
    <x v="0"/>
    <x v="11"/>
    <x v="226"/>
    <x v="1"/>
    <x v="6"/>
  </r>
  <r>
    <x v="36"/>
    <x v="587"/>
    <x v="4"/>
    <x v="6"/>
    <x v="6"/>
    <x v="9"/>
    <x v="8"/>
    <x v="2"/>
    <x v="50"/>
    <x v="1"/>
    <x v="6"/>
  </r>
  <r>
    <x v="36"/>
    <x v="588"/>
    <x v="5"/>
    <x v="2"/>
    <x v="2"/>
    <x v="9"/>
    <x v="8"/>
    <x v="15"/>
    <x v="70"/>
    <x v="1"/>
    <x v="6"/>
  </r>
  <r>
    <x v="37"/>
    <x v="589"/>
    <x v="0"/>
    <x v="1"/>
    <x v="1"/>
    <x v="1"/>
    <x v="0"/>
    <x v="46"/>
    <x v="186"/>
    <x v="1"/>
    <x v="6"/>
  </r>
  <r>
    <x v="37"/>
    <x v="590"/>
    <x v="0"/>
    <x v="10"/>
    <x v="10"/>
    <x v="8"/>
    <x v="7"/>
    <x v="8"/>
    <x v="270"/>
    <x v="1"/>
    <x v="6"/>
  </r>
  <r>
    <x v="37"/>
    <x v="591"/>
    <x v="1"/>
    <x v="3"/>
    <x v="3"/>
    <x v="9"/>
    <x v="8"/>
    <x v="10"/>
    <x v="72"/>
    <x v="1"/>
    <x v="6"/>
  </r>
  <r>
    <x v="37"/>
    <x v="592"/>
    <x v="1"/>
    <x v="2"/>
    <x v="2"/>
    <x v="1"/>
    <x v="0"/>
    <x v="37"/>
    <x v="178"/>
    <x v="1"/>
    <x v="6"/>
  </r>
  <r>
    <x v="37"/>
    <x v="593"/>
    <x v="1"/>
    <x v="2"/>
    <x v="2"/>
    <x v="1"/>
    <x v="0"/>
    <x v="18"/>
    <x v="87"/>
    <x v="1"/>
    <x v="6"/>
  </r>
  <r>
    <x v="37"/>
    <x v="594"/>
    <x v="1"/>
    <x v="11"/>
    <x v="11"/>
    <x v="1"/>
    <x v="0"/>
    <x v="6"/>
    <x v="282"/>
    <x v="1"/>
    <x v="6"/>
  </r>
  <r>
    <x v="37"/>
    <x v="595"/>
    <x v="1"/>
    <x v="2"/>
    <x v="2"/>
    <x v="1"/>
    <x v="0"/>
    <x v="52"/>
    <x v="235"/>
    <x v="1"/>
    <x v="6"/>
  </r>
  <r>
    <x v="37"/>
    <x v="596"/>
    <x v="2"/>
    <x v="7"/>
    <x v="7"/>
    <x v="1"/>
    <x v="0"/>
    <x v="16"/>
    <x v="232"/>
    <x v="1"/>
    <x v="6"/>
  </r>
  <r>
    <x v="37"/>
    <x v="597"/>
    <x v="2"/>
    <x v="1"/>
    <x v="1"/>
    <x v="9"/>
    <x v="8"/>
    <x v="26"/>
    <x v="103"/>
    <x v="1"/>
    <x v="6"/>
  </r>
  <r>
    <x v="37"/>
    <x v="598"/>
    <x v="2"/>
    <x v="5"/>
    <x v="5"/>
    <x v="1"/>
    <x v="0"/>
    <x v="44"/>
    <x v="294"/>
    <x v="1"/>
    <x v="6"/>
  </r>
  <r>
    <x v="37"/>
    <x v="599"/>
    <x v="3"/>
    <x v="10"/>
    <x v="10"/>
    <x v="9"/>
    <x v="8"/>
    <x v="13"/>
    <x v="307"/>
    <x v="1"/>
    <x v="6"/>
  </r>
  <r>
    <x v="37"/>
    <x v="600"/>
    <x v="3"/>
    <x v="4"/>
    <x v="4"/>
    <x v="1"/>
    <x v="0"/>
    <x v="7"/>
    <x v="62"/>
    <x v="1"/>
    <x v="6"/>
  </r>
  <r>
    <x v="37"/>
    <x v="601"/>
    <x v="3"/>
    <x v="10"/>
    <x v="10"/>
    <x v="7"/>
    <x v="6"/>
    <x v="16"/>
    <x v="314"/>
    <x v="1"/>
    <x v="6"/>
  </r>
  <r>
    <x v="37"/>
    <x v="602"/>
    <x v="3"/>
    <x v="7"/>
    <x v="7"/>
    <x v="7"/>
    <x v="6"/>
    <x v="28"/>
    <x v="300"/>
    <x v="1"/>
    <x v="6"/>
  </r>
  <r>
    <x v="37"/>
    <x v="603"/>
    <x v="4"/>
    <x v="2"/>
    <x v="2"/>
    <x v="1"/>
    <x v="0"/>
    <x v="13"/>
    <x v="62"/>
    <x v="1"/>
    <x v="6"/>
  </r>
  <r>
    <x v="37"/>
    <x v="604"/>
    <x v="4"/>
    <x v="9"/>
    <x v="9"/>
    <x v="1"/>
    <x v="0"/>
    <x v="15"/>
    <x v="298"/>
    <x v="1"/>
    <x v="6"/>
  </r>
  <r>
    <x v="37"/>
    <x v="605"/>
    <x v="4"/>
    <x v="10"/>
    <x v="10"/>
    <x v="1"/>
    <x v="0"/>
    <x v="5"/>
    <x v="222"/>
    <x v="1"/>
    <x v="6"/>
  </r>
  <r>
    <x v="37"/>
    <x v="606"/>
    <x v="4"/>
    <x v="9"/>
    <x v="9"/>
    <x v="2"/>
    <x v="1"/>
    <x v="9"/>
    <x v="246"/>
    <x v="1"/>
    <x v="6"/>
  </r>
  <r>
    <x v="37"/>
    <x v="607"/>
    <x v="5"/>
    <x v="10"/>
    <x v="10"/>
    <x v="1"/>
    <x v="0"/>
    <x v="0"/>
    <x v="105"/>
    <x v="1"/>
    <x v="6"/>
  </r>
  <r>
    <x v="37"/>
    <x v="608"/>
    <x v="5"/>
    <x v="9"/>
    <x v="9"/>
    <x v="8"/>
    <x v="7"/>
    <x v="11"/>
    <x v="268"/>
    <x v="1"/>
    <x v="6"/>
  </r>
  <r>
    <x v="38"/>
    <x v="609"/>
    <x v="0"/>
    <x v="2"/>
    <x v="2"/>
    <x v="1"/>
    <x v="0"/>
    <x v="35"/>
    <x v="170"/>
    <x v="1"/>
    <x v="6"/>
  </r>
  <r>
    <x v="38"/>
    <x v="610"/>
    <x v="1"/>
    <x v="3"/>
    <x v="3"/>
    <x v="8"/>
    <x v="7"/>
    <x v="3"/>
    <x v="27"/>
    <x v="1"/>
    <x v="6"/>
  </r>
  <r>
    <x v="38"/>
    <x v="611"/>
    <x v="2"/>
    <x v="4"/>
    <x v="4"/>
    <x v="3"/>
    <x v="2"/>
    <x v="29"/>
    <x v="214"/>
    <x v="1"/>
    <x v="6"/>
  </r>
  <r>
    <x v="38"/>
    <x v="612"/>
    <x v="3"/>
    <x v="11"/>
    <x v="11"/>
    <x v="4"/>
    <x v="3"/>
    <x v="3"/>
    <x v="226"/>
    <x v="1"/>
    <x v="6"/>
  </r>
  <r>
    <x v="38"/>
    <x v="613"/>
    <x v="3"/>
    <x v="2"/>
    <x v="2"/>
    <x v="3"/>
    <x v="2"/>
    <x v="58"/>
    <x v="252"/>
    <x v="1"/>
    <x v="6"/>
  </r>
  <r>
    <x v="38"/>
    <x v="614"/>
    <x v="4"/>
    <x v="2"/>
    <x v="2"/>
    <x v="7"/>
    <x v="6"/>
    <x v="19"/>
    <x v="91"/>
    <x v="1"/>
    <x v="6"/>
  </r>
  <r>
    <x v="38"/>
    <x v="615"/>
    <x v="4"/>
    <x v="6"/>
    <x v="6"/>
    <x v="0"/>
    <x v="9"/>
    <x v="10"/>
    <x v="142"/>
    <x v="1"/>
    <x v="6"/>
  </r>
  <r>
    <x v="38"/>
    <x v="616"/>
    <x v="4"/>
    <x v="7"/>
    <x v="7"/>
    <x v="1"/>
    <x v="0"/>
    <x v="1"/>
    <x v="52"/>
    <x v="1"/>
    <x v="6"/>
  </r>
  <r>
    <x v="38"/>
    <x v="617"/>
    <x v="4"/>
    <x v="0"/>
    <x v="0"/>
    <x v="1"/>
    <x v="0"/>
    <x v="40"/>
    <x v="115"/>
    <x v="1"/>
    <x v="6"/>
  </r>
  <r>
    <x v="38"/>
    <x v="618"/>
    <x v="5"/>
    <x v="2"/>
    <x v="2"/>
    <x v="1"/>
    <x v="0"/>
    <x v="33"/>
    <x v="163"/>
    <x v="1"/>
    <x v="6"/>
  </r>
  <r>
    <x v="39"/>
    <x v="619"/>
    <x v="0"/>
    <x v="7"/>
    <x v="7"/>
    <x v="1"/>
    <x v="0"/>
    <x v="28"/>
    <x v="300"/>
    <x v="1"/>
    <x v="6"/>
  </r>
  <r>
    <x v="39"/>
    <x v="620"/>
    <x v="0"/>
    <x v="6"/>
    <x v="6"/>
    <x v="8"/>
    <x v="7"/>
    <x v="7"/>
    <x v="110"/>
    <x v="1"/>
    <x v="6"/>
  </r>
  <r>
    <x v="39"/>
    <x v="621"/>
    <x v="0"/>
    <x v="3"/>
    <x v="3"/>
    <x v="0"/>
    <x v="9"/>
    <x v="16"/>
    <x v="114"/>
    <x v="1"/>
    <x v="6"/>
  </r>
  <r>
    <x v="39"/>
    <x v="622"/>
    <x v="1"/>
    <x v="3"/>
    <x v="3"/>
    <x v="1"/>
    <x v="0"/>
    <x v="2"/>
    <x v="20"/>
    <x v="1"/>
    <x v="6"/>
  </r>
  <r>
    <x v="39"/>
    <x v="623"/>
    <x v="2"/>
    <x v="8"/>
    <x v="8"/>
    <x v="0"/>
    <x v="9"/>
    <x v="17"/>
    <x v="282"/>
    <x v="1"/>
    <x v="6"/>
  </r>
  <r>
    <x v="39"/>
    <x v="624"/>
    <x v="2"/>
    <x v="5"/>
    <x v="5"/>
    <x v="1"/>
    <x v="0"/>
    <x v="41"/>
    <x v="288"/>
    <x v="1"/>
    <x v="6"/>
  </r>
  <r>
    <x v="39"/>
    <x v="625"/>
    <x v="2"/>
    <x v="9"/>
    <x v="9"/>
    <x v="1"/>
    <x v="0"/>
    <x v="14"/>
    <x v="292"/>
    <x v="1"/>
    <x v="6"/>
  </r>
  <r>
    <x v="39"/>
    <x v="626"/>
    <x v="2"/>
    <x v="0"/>
    <x v="0"/>
    <x v="1"/>
    <x v="0"/>
    <x v="11"/>
    <x v="23"/>
    <x v="1"/>
    <x v="6"/>
  </r>
  <r>
    <x v="39"/>
    <x v="627"/>
    <x v="3"/>
    <x v="8"/>
    <x v="8"/>
    <x v="1"/>
    <x v="0"/>
    <x v="5"/>
    <x v="142"/>
    <x v="1"/>
    <x v="6"/>
  </r>
  <r>
    <x v="39"/>
    <x v="628"/>
    <x v="3"/>
    <x v="4"/>
    <x v="4"/>
    <x v="1"/>
    <x v="0"/>
    <x v="36"/>
    <x v="249"/>
    <x v="1"/>
    <x v="6"/>
  </r>
  <r>
    <x v="39"/>
    <x v="629"/>
    <x v="4"/>
    <x v="2"/>
    <x v="2"/>
    <x v="7"/>
    <x v="6"/>
    <x v="49"/>
    <x v="225"/>
    <x v="1"/>
    <x v="6"/>
  </r>
  <r>
    <x v="39"/>
    <x v="630"/>
    <x v="4"/>
    <x v="11"/>
    <x v="11"/>
    <x v="1"/>
    <x v="0"/>
    <x v="3"/>
    <x v="226"/>
    <x v="1"/>
    <x v="6"/>
  </r>
  <r>
    <x v="39"/>
    <x v="631"/>
    <x v="5"/>
    <x v="3"/>
    <x v="3"/>
    <x v="1"/>
    <x v="0"/>
    <x v="5"/>
    <x v="41"/>
    <x v="1"/>
    <x v="6"/>
  </r>
  <r>
    <x v="40"/>
    <x v="632"/>
    <x v="0"/>
    <x v="0"/>
    <x v="0"/>
    <x v="1"/>
    <x v="0"/>
    <x v="45"/>
    <x v="130"/>
    <x v="1"/>
    <x v="6"/>
  </r>
  <r>
    <x v="40"/>
    <x v="633"/>
    <x v="0"/>
    <x v="0"/>
    <x v="0"/>
    <x v="2"/>
    <x v="1"/>
    <x v="47"/>
    <x v="137"/>
    <x v="1"/>
    <x v="6"/>
  </r>
  <r>
    <x v="40"/>
    <x v="634"/>
    <x v="0"/>
    <x v="0"/>
    <x v="0"/>
    <x v="6"/>
    <x v="5"/>
    <x v="56"/>
    <x v="165"/>
    <x v="1"/>
    <x v="6"/>
  </r>
  <r>
    <x v="40"/>
    <x v="635"/>
    <x v="0"/>
    <x v="8"/>
    <x v="8"/>
    <x v="1"/>
    <x v="0"/>
    <x v="20"/>
    <x v="295"/>
    <x v="1"/>
    <x v="6"/>
  </r>
  <r>
    <x v="40"/>
    <x v="636"/>
    <x v="0"/>
    <x v="9"/>
    <x v="9"/>
    <x v="1"/>
    <x v="0"/>
    <x v="17"/>
    <x v="305"/>
    <x v="1"/>
    <x v="6"/>
  </r>
  <r>
    <x v="40"/>
    <x v="637"/>
    <x v="0"/>
    <x v="10"/>
    <x v="10"/>
    <x v="1"/>
    <x v="0"/>
    <x v="13"/>
    <x v="307"/>
    <x v="1"/>
    <x v="6"/>
  </r>
  <r>
    <x v="40"/>
    <x v="638"/>
    <x v="1"/>
    <x v="0"/>
    <x v="0"/>
    <x v="1"/>
    <x v="0"/>
    <x v="33"/>
    <x v="90"/>
    <x v="1"/>
    <x v="6"/>
  </r>
  <r>
    <x v="40"/>
    <x v="639"/>
    <x v="1"/>
    <x v="8"/>
    <x v="8"/>
    <x v="0"/>
    <x v="9"/>
    <x v="17"/>
    <x v="282"/>
    <x v="1"/>
    <x v="6"/>
  </r>
  <r>
    <x v="40"/>
    <x v="640"/>
    <x v="1"/>
    <x v="1"/>
    <x v="1"/>
    <x v="1"/>
    <x v="0"/>
    <x v="37"/>
    <x v="151"/>
    <x v="1"/>
    <x v="6"/>
  </r>
  <r>
    <x v="40"/>
    <x v="641"/>
    <x v="1"/>
    <x v="11"/>
    <x v="11"/>
    <x v="1"/>
    <x v="0"/>
    <x v="4"/>
    <x v="248"/>
    <x v="1"/>
    <x v="6"/>
  </r>
  <r>
    <x v="40"/>
    <x v="642"/>
    <x v="2"/>
    <x v="8"/>
    <x v="8"/>
    <x v="1"/>
    <x v="0"/>
    <x v="8"/>
    <x v="189"/>
    <x v="1"/>
    <x v="6"/>
  </r>
  <r>
    <x v="40"/>
    <x v="643"/>
    <x v="3"/>
    <x v="10"/>
    <x v="10"/>
    <x v="1"/>
    <x v="0"/>
    <x v="14"/>
    <x v="309"/>
    <x v="1"/>
    <x v="6"/>
  </r>
  <r>
    <x v="40"/>
    <x v="644"/>
    <x v="3"/>
    <x v="6"/>
    <x v="6"/>
    <x v="1"/>
    <x v="0"/>
    <x v="12"/>
    <x v="164"/>
    <x v="1"/>
    <x v="6"/>
  </r>
  <r>
    <x v="40"/>
    <x v="645"/>
    <x v="3"/>
    <x v="4"/>
    <x v="4"/>
    <x v="4"/>
    <x v="3"/>
    <x v="23"/>
    <x v="178"/>
    <x v="1"/>
    <x v="6"/>
  </r>
  <r>
    <x v="40"/>
    <x v="646"/>
    <x v="4"/>
    <x v="9"/>
    <x v="9"/>
    <x v="7"/>
    <x v="6"/>
    <x v="13"/>
    <x v="286"/>
    <x v="1"/>
    <x v="6"/>
  </r>
  <r>
    <x v="40"/>
    <x v="647"/>
    <x v="5"/>
    <x v="7"/>
    <x v="7"/>
    <x v="1"/>
    <x v="0"/>
    <x v="27"/>
    <x v="297"/>
    <x v="1"/>
    <x v="6"/>
  </r>
  <r>
    <x v="41"/>
    <x v="648"/>
    <x v="0"/>
    <x v="9"/>
    <x v="9"/>
    <x v="2"/>
    <x v="1"/>
    <x v="7"/>
    <x v="216"/>
    <x v="1"/>
    <x v="6"/>
  </r>
  <r>
    <x v="41"/>
    <x v="649"/>
    <x v="0"/>
    <x v="3"/>
    <x v="3"/>
    <x v="9"/>
    <x v="8"/>
    <x v="37"/>
    <x v="234"/>
    <x v="1"/>
    <x v="6"/>
  </r>
  <r>
    <x v="41"/>
    <x v="650"/>
    <x v="0"/>
    <x v="8"/>
    <x v="8"/>
    <x v="1"/>
    <x v="0"/>
    <x v="19"/>
    <x v="291"/>
    <x v="1"/>
    <x v="6"/>
  </r>
  <r>
    <x v="41"/>
    <x v="651"/>
    <x v="1"/>
    <x v="11"/>
    <x v="11"/>
    <x v="9"/>
    <x v="8"/>
    <x v="10"/>
    <x v="310"/>
    <x v="1"/>
    <x v="6"/>
  </r>
  <r>
    <x v="41"/>
    <x v="652"/>
    <x v="1"/>
    <x v="2"/>
    <x v="2"/>
    <x v="4"/>
    <x v="3"/>
    <x v="24"/>
    <x v="118"/>
    <x v="1"/>
    <x v="6"/>
  </r>
  <r>
    <x v="41"/>
    <x v="653"/>
    <x v="2"/>
    <x v="8"/>
    <x v="8"/>
    <x v="0"/>
    <x v="9"/>
    <x v="12"/>
    <x v="236"/>
    <x v="1"/>
    <x v="6"/>
  </r>
  <r>
    <x v="41"/>
    <x v="654"/>
    <x v="3"/>
    <x v="5"/>
    <x v="5"/>
    <x v="1"/>
    <x v="0"/>
    <x v="8"/>
    <x v="80"/>
    <x v="1"/>
    <x v="6"/>
  </r>
  <r>
    <x v="41"/>
    <x v="655"/>
    <x v="3"/>
    <x v="4"/>
    <x v="4"/>
    <x v="8"/>
    <x v="7"/>
    <x v="42"/>
    <x v="273"/>
    <x v="1"/>
    <x v="6"/>
  </r>
  <r>
    <x v="41"/>
    <x v="656"/>
    <x v="4"/>
    <x v="5"/>
    <x v="5"/>
    <x v="9"/>
    <x v="8"/>
    <x v="3"/>
    <x v="43"/>
    <x v="1"/>
    <x v="6"/>
  </r>
  <r>
    <x v="41"/>
    <x v="657"/>
    <x v="4"/>
    <x v="1"/>
    <x v="1"/>
    <x v="1"/>
    <x v="0"/>
    <x v="23"/>
    <x v="89"/>
    <x v="1"/>
    <x v="6"/>
  </r>
  <r>
    <x v="41"/>
    <x v="658"/>
    <x v="5"/>
    <x v="3"/>
    <x v="3"/>
    <x v="3"/>
    <x v="2"/>
    <x v="35"/>
    <x v="224"/>
    <x v="1"/>
    <x v="6"/>
  </r>
  <r>
    <x v="41"/>
    <x v="659"/>
    <x v="5"/>
    <x v="10"/>
    <x v="10"/>
    <x v="9"/>
    <x v="8"/>
    <x v="3"/>
    <x v="180"/>
    <x v="1"/>
    <x v="6"/>
  </r>
  <r>
    <x v="42"/>
    <x v="660"/>
    <x v="0"/>
    <x v="4"/>
    <x v="4"/>
    <x v="0"/>
    <x v="9"/>
    <x v="38"/>
    <x v="259"/>
    <x v="1"/>
    <x v="7"/>
  </r>
  <r>
    <x v="42"/>
    <x v="661"/>
    <x v="1"/>
    <x v="4"/>
    <x v="4"/>
    <x v="6"/>
    <x v="5"/>
    <x v="5"/>
    <x v="47"/>
    <x v="1"/>
    <x v="7"/>
  </r>
  <r>
    <x v="42"/>
    <x v="662"/>
    <x v="1"/>
    <x v="10"/>
    <x v="10"/>
    <x v="1"/>
    <x v="0"/>
    <x v="8"/>
    <x v="270"/>
    <x v="1"/>
    <x v="7"/>
  </r>
  <r>
    <x v="42"/>
    <x v="663"/>
    <x v="1"/>
    <x v="4"/>
    <x v="4"/>
    <x v="1"/>
    <x v="0"/>
    <x v="32"/>
    <x v="229"/>
    <x v="1"/>
    <x v="7"/>
  </r>
  <r>
    <x v="42"/>
    <x v="664"/>
    <x v="1"/>
    <x v="11"/>
    <x v="11"/>
    <x v="4"/>
    <x v="3"/>
    <x v="6"/>
    <x v="282"/>
    <x v="1"/>
    <x v="7"/>
  </r>
  <r>
    <x v="42"/>
    <x v="665"/>
    <x v="2"/>
    <x v="9"/>
    <x v="9"/>
    <x v="1"/>
    <x v="0"/>
    <x v="14"/>
    <x v="292"/>
    <x v="1"/>
    <x v="7"/>
  </r>
  <r>
    <x v="42"/>
    <x v="666"/>
    <x v="2"/>
    <x v="8"/>
    <x v="8"/>
    <x v="1"/>
    <x v="0"/>
    <x v="27"/>
    <x v="313"/>
    <x v="1"/>
    <x v="7"/>
  </r>
  <r>
    <x v="42"/>
    <x v="667"/>
    <x v="2"/>
    <x v="5"/>
    <x v="5"/>
    <x v="1"/>
    <x v="0"/>
    <x v="35"/>
    <x v="267"/>
    <x v="1"/>
    <x v="7"/>
  </r>
  <r>
    <x v="42"/>
    <x v="668"/>
    <x v="2"/>
    <x v="4"/>
    <x v="4"/>
    <x v="1"/>
    <x v="0"/>
    <x v="9"/>
    <x v="74"/>
    <x v="1"/>
    <x v="7"/>
  </r>
  <r>
    <x v="42"/>
    <x v="669"/>
    <x v="3"/>
    <x v="7"/>
    <x v="7"/>
    <x v="1"/>
    <x v="0"/>
    <x v="4"/>
    <x v="92"/>
    <x v="1"/>
    <x v="7"/>
  </r>
  <r>
    <x v="42"/>
    <x v="670"/>
    <x v="3"/>
    <x v="5"/>
    <x v="5"/>
    <x v="1"/>
    <x v="0"/>
    <x v="35"/>
    <x v="267"/>
    <x v="1"/>
    <x v="7"/>
  </r>
  <r>
    <x v="42"/>
    <x v="671"/>
    <x v="4"/>
    <x v="10"/>
    <x v="10"/>
    <x v="1"/>
    <x v="0"/>
    <x v="4"/>
    <x v="203"/>
    <x v="1"/>
    <x v="7"/>
  </r>
  <r>
    <x v="42"/>
    <x v="672"/>
    <x v="4"/>
    <x v="5"/>
    <x v="5"/>
    <x v="6"/>
    <x v="5"/>
    <x v="44"/>
    <x v="294"/>
    <x v="1"/>
    <x v="7"/>
  </r>
  <r>
    <x v="42"/>
    <x v="673"/>
    <x v="4"/>
    <x v="3"/>
    <x v="3"/>
    <x v="4"/>
    <x v="3"/>
    <x v="0"/>
    <x v="8"/>
    <x v="1"/>
    <x v="7"/>
  </r>
  <r>
    <x v="42"/>
    <x v="674"/>
    <x v="4"/>
    <x v="6"/>
    <x v="6"/>
    <x v="7"/>
    <x v="6"/>
    <x v="23"/>
    <x v="253"/>
    <x v="1"/>
    <x v="7"/>
  </r>
  <r>
    <x v="42"/>
    <x v="675"/>
    <x v="5"/>
    <x v="7"/>
    <x v="7"/>
    <x v="1"/>
    <x v="0"/>
    <x v="8"/>
    <x v="147"/>
    <x v="1"/>
    <x v="7"/>
  </r>
  <r>
    <x v="42"/>
    <x v="676"/>
    <x v="5"/>
    <x v="2"/>
    <x v="2"/>
    <x v="0"/>
    <x v="9"/>
    <x v="25"/>
    <x v="123"/>
    <x v="1"/>
    <x v="7"/>
  </r>
  <r>
    <x v="43"/>
    <x v="677"/>
    <x v="0"/>
    <x v="7"/>
    <x v="7"/>
    <x v="1"/>
    <x v="0"/>
    <x v="8"/>
    <x v="147"/>
    <x v="1"/>
    <x v="7"/>
  </r>
  <r>
    <x v="43"/>
    <x v="678"/>
    <x v="1"/>
    <x v="10"/>
    <x v="10"/>
    <x v="1"/>
    <x v="0"/>
    <x v="4"/>
    <x v="203"/>
    <x v="1"/>
    <x v="7"/>
  </r>
  <r>
    <x v="43"/>
    <x v="679"/>
    <x v="2"/>
    <x v="3"/>
    <x v="3"/>
    <x v="1"/>
    <x v="0"/>
    <x v="23"/>
    <x v="161"/>
    <x v="1"/>
    <x v="7"/>
  </r>
  <r>
    <x v="43"/>
    <x v="680"/>
    <x v="2"/>
    <x v="10"/>
    <x v="10"/>
    <x v="1"/>
    <x v="0"/>
    <x v="8"/>
    <x v="270"/>
    <x v="1"/>
    <x v="7"/>
  </r>
  <r>
    <x v="43"/>
    <x v="681"/>
    <x v="2"/>
    <x v="10"/>
    <x v="10"/>
    <x v="1"/>
    <x v="0"/>
    <x v="13"/>
    <x v="307"/>
    <x v="1"/>
    <x v="7"/>
  </r>
  <r>
    <x v="43"/>
    <x v="682"/>
    <x v="2"/>
    <x v="7"/>
    <x v="7"/>
    <x v="1"/>
    <x v="0"/>
    <x v="28"/>
    <x v="300"/>
    <x v="1"/>
    <x v="7"/>
  </r>
  <r>
    <x v="43"/>
    <x v="683"/>
    <x v="3"/>
    <x v="10"/>
    <x v="10"/>
    <x v="1"/>
    <x v="0"/>
    <x v="2"/>
    <x v="157"/>
    <x v="1"/>
    <x v="7"/>
  </r>
  <r>
    <x v="43"/>
    <x v="684"/>
    <x v="3"/>
    <x v="10"/>
    <x v="10"/>
    <x v="1"/>
    <x v="0"/>
    <x v="1"/>
    <x v="132"/>
    <x v="1"/>
    <x v="7"/>
  </r>
  <r>
    <x v="43"/>
    <x v="685"/>
    <x v="3"/>
    <x v="4"/>
    <x v="4"/>
    <x v="1"/>
    <x v="0"/>
    <x v="30"/>
    <x v="219"/>
    <x v="1"/>
    <x v="7"/>
  </r>
  <r>
    <x v="43"/>
    <x v="686"/>
    <x v="4"/>
    <x v="11"/>
    <x v="11"/>
    <x v="1"/>
    <x v="0"/>
    <x v="2"/>
    <x v="202"/>
    <x v="1"/>
    <x v="7"/>
  </r>
  <r>
    <x v="43"/>
    <x v="687"/>
    <x v="5"/>
    <x v="0"/>
    <x v="0"/>
    <x v="1"/>
    <x v="0"/>
    <x v="43"/>
    <x v="125"/>
    <x v="1"/>
    <x v="7"/>
  </r>
  <r>
    <x v="43"/>
    <x v="688"/>
    <x v="5"/>
    <x v="6"/>
    <x v="6"/>
    <x v="1"/>
    <x v="0"/>
    <x v="15"/>
    <x v="193"/>
    <x v="1"/>
    <x v="7"/>
  </r>
  <r>
    <x v="44"/>
    <x v="689"/>
    <x v="0"/>
    <x v="11"/>
    <x v="11"/>
    <x v="1"/>
    <x v="0"/>
    <x v="0"/>
    <x v="142"/>
    <x v="1"/>
    <x v="7"/>
  </r>
  <r>
    <x v="44"/>
    <x v="690"/>
    <x v="0"/>
    <x v="0"/>
    <x v="0"/>
    <x v="1"/>
    <x v="0"/>
    <x v="6"/>
    <x v="9"/>
    <x v="1"/>
    <x v="7"/>
  </r>
  <r>
    <x v="44"/>
    <x v="691"/>
    <x v="1"/>
    <x v="6"/>
    <x v="6"/>
    <x v="2"/>
    <x v="1"/>
    <x v="13"/>
    <x v="174"/>
    <x v="1"/>
    <x v="7"/>
  </r>
  <r>
    <x v="44"/>
    <x v="692"/>
    <x v="1"/>
    <x v="6"/>
    <x v="6"/>
    <x v="1"/>
    <x v="0"/>
    <x v="19"/>
    <x v="226"/>
    <x v="1"/>
    <x v="7"/>
  </r>
  <r>
    <x v="44"/>
    <x v="693"/>
    <x v="1"/>
    <x v="2"/>
    <x v="2"/>
    <x v="1"/>
    <x v="0"/>
    <x v="46"/>
    <x v="214"/>
    <x v="1"/>
    <x v="7"/>
  </r>
  <r>
    <x v="44"/>
    <x v="694"/>
    <x v="1"/>
    <x v="10"/>
    <x v="10"/>
    <x v="0"/>
    <x v="9"/>
    <x v="14"/>
    <x v="309"/>
    <x v="1"/>
    <x v="7"/>
  </r>
  <r>
    <x v="44"/>
    <x v="695"/>
    <x v="1"/>
    <x v="10"/>
    <x v="10"/>
    <x v="1"/>
    <x v="0"/>
    <x v="11"/>
    <x v="296"/>
    <x v="1"/>
    <x v="7"/>
  </r>
  <r>
    <x v="44"/>
    <x v="696"/>
    <x v="2"/>
    <x v="7"/>
    <x v="7"/>
    <x v="1"/>
    <x v="0"/>
    <x v="22"/>
    <x v="276"/>
    <x v="1"/>
    <x v="7"/>
  </r>
  <r>
    <x v="44"/>
    <x v="697"/>
    <x v="2"/>
    <x v="0"/>
    <x v="0"/>
    <x v="1"/>
    <x v="0"/>
    <x v="9"/>
    <x v="17"/>
    <x v="1"/>
    <x v="7"/>
  </r>
  <r>
    <x v="44"/>
    <x v="698"/>
    <x v="2"/>
    <x v="4"/>
    <x v="4"/>
    <x v="1"/>
    <x v="0"/>
    <x v="39"/>
    <x v="263"/>
    <x v="1"/>
    <x v="7"/>
  </r>
  <r>
    <x v="44"/>
    <x v="699"/>
    <x v="3"/>
    <x v="3"/>
    <x v="3"/>
    <x v="3"/>
    <x v="2"/>
    <x v="29"/>
    <x v="196"/>
    <x v="1"/>
    <x v="7"/>
  </r>
  <r>
    <x v="44"/>
    <x v="700"/>
    <x v="3"/>
    <x v="3"/>
    <x v="3"/>
    <x v="1"/>
    <x v="0"/>
    <x v="9"/>
    <x v="66"/>
    <x v="1"/>
    <x v="7"/>
  </r>
  <r>
    <x v="44"/>
    <x v="701"/>
    <x v="3"/>
    <x v="9"/>
    <x v="9"/>
    <x v="8"/>
    <x v="7"/>
    <x v="8"/>
    <x v="230"/>
    <x v="1"/>
    <x v="7"/>
  </r>
  <r>
    <x v="44"/>
    <x v="702"/>
    <x v="4"/>
    <x v="10"/>
    <x v="10"/>
    <x v="1"/>
    <x v="0"/>
    <x v="12"/>
    <x v="302"/>
    <x v="1"/>
    <x v="7"/>
  </r>
  <r>
    <x v="44"/>
    <x v="703"/>
    <x v="4"/>
    <x v="1"/>
    <x v="1"/>
    <x v="8"/>
    <x v="7"/>
    <x v="34"/>
    <x v="139"/>
    <x v="1"/>
    <x v="7"/>
  </r>
  <r>
    <x v="44"/>
    <x v="704"/>
    <x v="4"/>
    <x v="6"/>
    <x v="6"/>
    <x v="7"/>
    <x v="6"/>
    <x v="13"/>
    <x v="174"/>
    <x v="1"/>
    <x v="7"/>
  </r>
  <r>
    <x v="44"/>
    <x v="705"/>
    <x v="4"/>
    <x v="3"/>
    <x v="3"/>
    <x v="0"/>
    <x v="9"/>
    <x v="35"/>
    <x v="224"/>
    <x v="1"/>
    <x v="7"/>
  </r>
  <r>
    <x v="44"/>
    <x v="706"/>
    <x v="5"/>
    <x v="4"/>
    <x v="4"/>
    <x v="1"/>
    <x v="0"/>
    <x v="17"/>
    <x v="138"/>
    <x v="1"/>
    <x v="7"/>
  </r>
  <r>
    <x v="44"/>
    <x v="707"/>
    <x v="5"/>
    <x v="5"/>
    <x v="5"/>
    <x v="0"/>
    <x v="9"/>
    <x v="21"/>
    <x v="189"/>
    <x v="1"/>
    <x v="7"/>
  </r>
  <r>
    <x v="44"/>
    <x v="708"/>
    <x v="5"/>
    <x v="1"/>
    <x v="1"/>
    <x v="1"/>
    <x v="0"/>
    <x v="21"/>
    <x v="80"/>
    <x v="1"/>
    <x v="7"/>
  </r>
  <r>
    <x v="45"/>
    <x v="709"/>
    <x v="0"/>
    <x v="0"/>
    <x v="0"/>
    <x v="1"/>
    <x v="0"/>
    <x v="26"/>
    <x v="69"/>
    <x v="1"/>
    <x v="7"/>
  </r>
  <r>
    <x v="45"/>
    <x v="710"/>
    <x v="0"/>
    <x v="1"/>
    <x v="1"/>
    <x v="7"/>
    <x v="6"/>
    <x v="17"/>
    <x v="64"/>
    <x v="1"/>
    <x v="7"/>
  </r>
  <r>
    <x v="45"/>
    <x v="711"/>
    <x v="0"/>
    <x v="9"/>
    <x v="9"/>
    <x v="9"/>
    <x v="8"/>
    <x v="6"/>
    <x v="201"/>
    <x v="1"/>
    <x v="7"/>
  </r>
  <r>
    <x v="45"/>
    <x v="712"/>
    <x v="0"/>
    <x v="10"/>
    <x v="10"/>
    <x v="9"/>
    <x v="8"/>
    <x v="0"/>
    <x v="105"/>
    <x v="1"/>
    <x v="7"/>
  </r>
  <r>
    <x v="45"/>
    <x v="713"/>
    <x v="0"/>
    <x v="8"/>
    <x v="8"/>
    <x v="1"/>
    <x v="0"/>
    <x v="9"/>
    <x v="202"/>
    <x v="1"/>
    <x v="7"/>
  </r>
  <r>
    <x v="45"/>
    <x v="714"/>
    <x v="0"/>
    <x v="1"/>
    <x v="1"/>
    <x v="9"/>
    <x v="8"/>
    <x v="10"/>
    <x v="37"/>
    <x v="1"/>
    <x v="7"/>
  </r>
  <r>
    <x v="45"/>
    <x v="715"/>
    <x v="1"/>
    <x v="2"/>
    <x v="2"/>
    <x v="8"/>
    <x v="7"/>
    <x v="21"/>
    <x v="102"/>
    <x v="1"/>
    <x v="7"/>
  </r>
  <r>
    <x v="45"/>
    <x v="716"/>
    <x v="1"/>
    <x v="11"/>
    <x v="11"/>
    <x v="1"/>
    <x v="0"/>
    <x v="2"/>
    <x v="202"/>
    <x v="1"/>
    <x v="7"/>
  </r>
  <r>
    <x v="45"/>
    <x v="717"/>
    <x v="1"/>
    <x v="8"/>
    <x v="8"/>
    <x v="1"/>
    <x v="0"/>
    <x v="3"/>
    <x v="110"/>
    <x v="1"/>
    <x v="7"/>
  </r>
  <r>
    <x v="45"/>
    <x v="718"/>
    <x v="1"/>
    <x v="0"/>
    <x v="0"/>
    <x v="1"/>
    <x v="0"/>
    <x v="17"/>
    <x v="44"/>
    <x v="1"/>
    <x v="7"/>
  </r>
  <r>
    <x v="45"/>
    <x v="719"/>
    <x v="2"/>
    <x v="3"/>
    <x v="3"/>
    <x v="9"/>
    <x v="8"/>
    <x v="6"/>
    <x v="46"/>
    <x v="1"/>
    <x v="7"/>
  </r>
  <r>
    <x v="45"/>
    <x v="720"/>
    <x v="2"/>
    <x v="10"/>
    <x v="10"/>
    <x v="1"/>
    <x v="0"/>
    <x v="11"/>
    <x v="296"/>
    <x v="1"/>
    <x v="7"/>
  </r>
  <r>
    <x v="45"/>
    <x v="721"/>
    <x v="2"/>
    <x v="11"/>
    <x v="11"/>
    <x v="4"/>
    <x v="3"/>
    <x v="1"/>
    <x v="174"/>
    <x v="1"/>
    <x v="7"/>
  </r>
  <r>
    <x v="45"/>
    <x v="722"/>
    <x v="2"/>
    <x v="10"/>
    <x v="10"/>
    <x v="6"/>
    <x v="5"/>
    <x v="7"/>
    <x v="255"/>
    <x v="1"/>
    <x v="7"/>
  </r>
  <r>
    <x v="45"/>
    <x v="723"/>
    <x v="3"/>
    <x v="8"/>
    <x v="8"/>
    <x v="8"/>
    <x v="7"/>
    <x v="1"/>
    <x v="73"/>
    <x v="1"/>
    <x v="7"/>
  </r>
  <r>
    <x v="45"/>
    <x v="724"/>
    <x v="3"/>
    <x v="0"/>
    <x v="0"/>
    <x v="6"/>
    <x v="5"/>
    <x v="20"/>
    <x v="49"/>
    <x v="1"/>
    <x v="7"/>
  </r>
  <r>
    <x v="45"/>
    <x v="725"/>
    <x v="3"/>
    <x v="7"/>
    <x v="7"/>
    <x v="9"/>
    <x v="8"/>
    <x v="17"/>
    <x v="241"/>
    <x v="1"/>
    <x v="7"/>
  </r>
  <r>
    <x v="45"/>
    <x v="726"/>
    <x v="4"/>
    <x v="3"/>
    <x v="3"/>
    <x v="3"/>
    <x v="2"/>
    <x v="41"/>
    <x v="250"/>
    <x v="1"/>
    <x v="7"/>
  </r>
  <r>
    <x v="45"/>
    <x v="727"/>
    <x v="4"/>
    <x v="7"/>
    <x v="7"/>
    <x v="1"/>
    <x v="0"/>
    <x v="11"/>
    <x v="181"/>
    <x v="1"/>
    <x v="7"/>
  </r>
  <r>
    <x v="45"/>
    <x v="728"/>
    <x v="4"/>
    <x v="8"/>
    <x v="8"/>
    <x v="1"/>
    <x v="0"/>
    <x v="2"/>
    <x v="89"/>
    <x v="1"/>
    <x v="7"/>
  </r>
  <r>
    <x v="45"/>
    <x v="729"/>
    <x v="5"/>
    <x v="8"/>
    <x v="8"/>
    <x v="1"/>
    <x v="0"/>
    <x v="4"/>
    <x v="126"/>
    <x v="1"/>
    <x v="7"/>
  </r>
  <r>
    <x v="46"/>
    <x v="730"/>
    <x v="0"/>
    <x v="11"/>
    <x v="11"/>
    <x v="1"/>
    <x v="0"/>
    <x v="11"/>
    <x v="313"/>
    <x v="1"/>
    <x v="7"/>
  </r>
  <r>
    <x v="46"/>
    <x v="731"/>
    <x v="0"/>
    <x v="11"/>
    <x v="11"/>
    <x v="4"/>
    <x v="3"/>
    <x v="8"/>
    <x v="299"/>
    <x v="1"/>
    <x v="7"/>
  </r>
  <r>
    <x v="46"/>
    <x v="732"/>
    <x v="0"/>
    <x v="1"/>
    <x v="1"/>
    <x v="2"/>
    <x v="1"/>
    <x v="12"/>
    <x v="45"/>
    <x v="1"/>
    <x v="7"/>
  </r>
  <r>
    <x v="46"/>
    <x v="733"/>
    <x v="0"/>
    <x v="5"/>
    <x v="5"/>
    <x v="8"/>
    <x v="7"/>
    <x v="3"/>
    <x v="43"/>
    <x v="1"/>
    <x v="7"/>
  </r>
  <r>
    <x v="46"/>
    <x v="734"/>
    <x v="1"/>
    <x v="5"/>
    <x v="5"/>
    <x v="1"/>
    <x v="0"/>
    <x v="7"/>
    <x v="73"/>
    <x v="1"/>
    <x v="7"/>
  </r>
  <r>
    <x v="46"/>
    <x v="735"/>
    <x v="1"/>
    <x v="0"/>
    <x v="0"/>
    <x v="2"/>
    <x v="1"/>
    <x v="53"/>
    <x v="155"/>
    <x v="1"/>
    <x v="7"/>
  </r>
  <r>
    <x v="46"/>
    <x v="736"/>
    <x v="1"/>
    <x v="11"/>
    <x v="11"/>
    <x v="1"/>
    <x v="0"/>
    <x v="8"/>
    <x v="299"/>
    <x v="1"/>
    <x v="7"/>
  </r>
  <r>
    <x v="46"/>
    <x v="737"/>
    <x v="1"/>
    <x v="3"/>
    <x v="3"/>
    <x v="1"/>
    <x v="0"/>
    <x v="41"/>
    <x v="250"/>
    <x v="1"/>
    <x v="7"/>
  </r>
  <r>
    <x v="46"/>
    <x v="738"/>
    <x v="2"/>
    <x v="9"/>
    <x v="9"/>
    <x v="1"/>
    <x v="0"/>
    <x v="13"/>
    <x v="286"/>
    <x v="1"/>
    <x v="7"/>
  </r>
  <r>
    <x v="46"/>
    <x v="739"/>
    <x v="2"/>
    <x v="7"/>
    <x v="7"/>
    <x v="5"/>
    <x v="4"/>
    <x v="15"/>
    <x v="223"/>
    <x v="1"/>
    <x v="7"/>
  </r>
  <r>
    <x v="46"/>
    <x v="740"/>
    <x v="2"/>
    <x v="4"/>
    <x v="4"/>
    <x v="1"/>
    <x v="0"/>
    <x v="6"/>
    <x v="55"/>
    <x v="1"/>
    <x v="7"/>
  </r>
  <r>
    <x v="46"/>
    <x v="741"/>
    <x v="2"/>
    <x v="10"/>
    <x v="10"/>
    <x v="1"/>
    <x v="0"/>
    <x v="2"/>
    <x v="157"/>
    <x v="1"/>
    <x v="7"/>
  </r>
  <r>
    <x v="46"/>
    <x v="742"/>
    <x v="2"/>
    <x v="0"/>
    <x v="0"/>
    <x v="5"/>
    <x v="4"/>
    <x v="41"/>
    <x v="118"/>
    <x v="1"/>
    <x v="7"/>
  </r>
  <r>
    <x v="46"/>
    <x v="743"/>
    <x v="3"/>
    <x v="8"/>
    <x v="8"/>
    <x v="9"/>
    <x v="8"/>
    <x v="10"/>
    <x v="213"/>
    <x v="1"/>
    <x v="7"/>
  </r>
  <r>
    <x v="46"/>
    <x v="744"/>
    <x v="3"/>
    <x v="5"/>
    <x v="5"/>
    <x v="1"/>
    <x v="0"/>
    <x v="17"/>
    <x v="158"/>
    <x v="1"/>
    <x v="7"/>
  </r>
  <r>
    <x v="46"/>
    <x v="745"/>
    <x v="3"/>
    <x v="6"/>
    <x v="6"/>
    <x v="6"/>
    <x v="5"/>
    <x v="21"/>
    <x v="240"/>
    <x v="1"/>
    <x v="7"/>
  </r>
  <r>
    <x v="46"/>
    <x v="746"/>
    <x v="3"/>
    <x v="3"/>
    <x v="3"/>
    <x v="9"/>
    <x v="8"/>
    <x v="41"/>
    <x v="250"/>
    <x v="1"/>
    <x v="7"/>
  </r>
  <r>
    <x v="46"/>
    <x v="747"/>
    <x v="4"/>
    <x v="1"/>
    <x v="1"/>
    <x v="6"/>
    <x v="5"/>
    <x v="37"/>
    <x v="151"/>
    <x v="1"/>
    <x v="7"/>
  </r>
  <r>
    <x v="46"/>
    <x v="748"/>
    <x v="4"/>
    <x v="11"/>
    <x v="11"/>
    <x v="1"/>
    <x v="0"/>
    <x v="1"/>
    <x v="174"/>
    <x v="1"/>
    <x v="7"/>
  </r>
  <r>
    <x v="46"/>
    <x v="749"/>
    <x v="4"/>
    <x v="4"/>
    <x v="4"/>
    <x v="1"/>
    <x v="0"/>
    <x v="8"/>
    <x v="68"/>
    <x v="1"/>
    <x v="7"/>
  </r>
  <r>
    <x v="46"/>
    <x v="750"/>
    <x v="5"/>
    <x v="9"/>
    <x v="9"/>
    <x v="8"/>
    <x v="7"/>
    <x v="7"/>
    <x v="216"/>
    <x v="1"/>
    <x v="7"/>
  </r>
  <r>
    <x v="47"/>
    <x v="751"/>
    <x v="0"/>
    <x v="1"/>
    <x v="1"/>
    <x v="7"/>
    <x v="6"/>
    <x v="57"/>
    <x v="220"/>
    <x v="1"/>
    <x v="7"/>
  </r>
  <r>
    <x v="47"/>
    <x v="752"/>
    <x v="1"/>
    <x v="9"/>
    <x v="9"/>
    <x v="0"/>
    <x v="9"/>
    <x v="7"/>
    <x v="216"/>
    <x v="1"/>
    <x v="7"/>
  </r>
  <r>
    <x v="47"/>
    <x v="753"/>
    <x v="1"/>
    <x v="5"/>
    <x v="5"/>
    <x v="8"/>
    <x v="7"/>
    <x v="32"/>
    <x v="251"/>
    <x v="1"/>
    <x v="7"/>
  </r>
  <r>
    <x v="47"/>
    <x v="754"/>
    <x v="1"/>
    <x v="6"/>
    <x v="6"/>
    <x v="1"/>
    <x v="0"/>
    <x v="21"/>
    <x v="240"/>
    <x v="1"/>
    <x v="7"/>
  </r>
  <r>
    <x v="47"/>
    <x v="755"/>
    <x v="1"/>
    <x v="2"/>
    <x v="2"/>
    <x v="2"/>
    <x v="1"/>
    <x v="50"/>
    <x v="227"/>
    <x v="1"/>
    <x v="7"/>
  </r>
  <r>
    <x v="47"/>
    <x v="756"/>
    <x v="1"/>
    <x v="11"/>
    <x v="11"/>
    <x v="1"/>
    <x v="0"/>
    <x v="6"/>
    <x v="282"/>
    <x v="1"/>
    <x v="7"/>
  </r>
  <r>
    <x v="47"/>
    <x v="757"/>
    <x v="2"/>
    <x v="6"/>
    <x v="6"/>
    <x v="9"/>
    <x v="8"/>
    <x v="3"/>
    <x v="63"/>
    <x v="1"/>
    <x v="7"/>
  </r>
  <r>
    <x v="47"/>
    <x v="758"/>
    <x v="2"/>
    <x v="8"/>
    <x v="8"/>
    <x v="4"/>
    <x v="3"/>
    <x v="25"/>
    <x v="310"/>
    <x v="1"/>
    <x v="7"/>
  </r>
  <r>
    <x v="47"/>
    <x v="759"/>
    <x v="2"/>
    <x v="10"/>
    <x v="10"/>
    <x v="2"/>
    <x v="1"/>
    <x v="12"/>
    <x v="302"/>
    <x v="1"/>
    <x v="7"/>
  </r>
  <r>
    <x v="47"/>
    <x v="760"/>
    <x v="2"/>
    <x v="10"/>
    <x v="10"/>
    <x v="1"/>
    <x v="0"/>
    <x v="8"/>
    <x v="270"/>
    <x v="1"/>
    <x v="7"/>
  </r>
  <r>
    <x v="47"/>
    <x v="761"/>
    <x v="2"/>
    <x v="9"/>
    <x v="9"/>
    <x v="5"/>
    <x v="4"/>
    <x v="6"/>
    <x v="201"/>
    <x v="1"/>
    <x v="7"/>
  </r>
  <r>
    <x v="47"/>
    <x v="762"/>
    <x v="3"/>
    <x v="0"/>
    <x v="0"/>
    <x v="1"/>
    <x v="0"/>
    <x v="17"/>
    <x v="44"/>
    <x v="1"/>
    <x v="7"/>
  </r>
  <r>
    <x v="47"/>
    <x v="763"/>
    <x v="4"/>
    <x v="3"/>
    <x v="3"/>
    <x v="6"/>
    <x v="5"/>
    <x v="37"/>
    <x v="234"/>
    <x v="1"/>
    <x v="7"/>
  </r>
  <r>
    <x v="47"/>
    <x v="764"/>
    <x v="4"/>
    <x v="1"/>
    <x v="1"/>
    <x v="1"/>
    <x v="0"/>
    <x v="48"/>
    <x v="191"/>
    <x v="1"/>
    <x v="7"/>
  </r>
  <r>
    <x v="47"/>
    <x v="765"/>
    <x v="4"/>
    <x v="2"/>
    <x v="2"/>
    <x v="8"/>
    <x v="7"/>
    <x v="42"/>
    <x v="199"/>
    <x v="1"/>
    <x v="7"/>
  </r>
  <r>
    <x v="47"/>
    <x v="766"/>
    <x v="4"/>
    <x v="3"/>
    <x v="3"/>
    <x v="1"/>
    <x v="0"/>
    <x v="17"/>
    <x v="121"/>
    <x v="1"/>
    <x v="7"/>
  </r>
  <r>
    <x v="47"/>
    <x v="767"/>
    <x v="5"/>
    <x v="6"/>
    <x v="6"/>
    <x v="3"/>
    <x v="2"/>
    <x v="7"/>
    <x v="110"/>
    <x v="1"/>
    <x v="7"/>
  </r>
  <r>
    <x v="47"/>
    <x v="768"/>
    <x v="5"/>
    <x v="0"/>
    <x v="0"/>
    <x v="3"/>
    <x v="2"/>
    <x v="16"/>
    <x v="39"/>
    <x v="1"/>
    <x v="7"/>
  </r>
  <r>
    <x v="48"/>
    <x v="769"/>
    <x v="0"/>
    <x v="11"/>
    <x v="11"/>
    <x v="1"/>
    <x v="0"/>
    <x v="5"/>
    <x v="267"/>
    <x v="1"/>
    <x v="8"/>
  </r>
  <r>
    <x v="48"/>
    <x v="770"/>
    <x v="0"/>
    <x v="4"/>
    <x v="4"/>
    <x v="9"/>
    <x v="8"/>
    <x v="8"/>
    <x v="68"/>
    <x v="1"/>
    <x v="8"/>
  </r>
  <r>
    <x v="48"/>
    <x v="771"/>
    <x v="0"/>
    <x v="4"/>
    <x v="4"/>
    <x v="1"/>
    <x v="0"/>
    <x v="0"/>
    <x v="11"/>
    <x v="1"/>
    <x v="8"/>
  </r>
  <r>
    <x v="48"/>
    <x v="772"/>
    <x v="1"/>
    <x v="4"/>
    <x v="4"/>
    <x v="1"/>
    <x v="0"/>
    <x v="37"/>
    <x v="252"/>
    <x v="1"/>
    <x v="8"/>
  </r>
  <r>
    <x v="48"/>
    <x v="773"/>
    <x v="1"/>
    <x v="0"/>
    <x v="0"/>
    <x v="5"/>
    <x v="4"/>
    <x v="27"/>
    <x v="71"/>
    <x v="1"/>
    <x v="8"/>
  </r>
  <r>
    <x v="48"/>
    <x v="774"/>
    <x v="1"/>
    <x v="10"/>
    <x v="10"/>
    <x v="5"/>
    <x v="4"/>
    <x v="0"/>
    <x v="105"/>
    <x v="1"/>
    <x v="8"/>
  </r>
  <r>
    <x v="48"/>
    <x v="775"/>
    <x v="1"/>
    <x v="2"/>
    <x v="2"/>
    <x v="1"/>
    <x v="0"/>
    <x v="10"/>
    <x v="47"/>
    <x v="1"/>
    <x v="8"/>
  </r>
  <r>
    <x v="48"/>
    <x v="776"/>
    <x v="2"/>
    <x v="10"/>
    <x v="10"/>
    <x v="4"/>
    <x v="3"/>
    <x v="12"/>
    <x v="302"/>
    <x v="1"/>
    <x v="8"/>
  </r>
  <r>
    <x v="48"/>
    <x v="777"/>
    <x v="2"/>
    <x v="6"/>
    <x v="6"/>
    <x v="1"/>
    <x v="0"/>
    <x v="3"/>
    <x v="63"/>
    <x v="1"/>
    <x v="8"/>
  </r>
  <r>
    <x v="48"/>
    <x v="778"/>
    <x v="2"/>
    <x v="0"/>
    <x v="0"/>
    <x v="9"/>
    <x v="8"/>
    <x v="50"/>
    <x v="146"/>
    <x v="1"/>
    <x v="8"/>
  </r>
  <r>
    <x v="48"/>
    <x v="779"/>
    <x v="2"/>
    <x v="11"/>
    <x v="11"/>
    <x v="8"/>
    <x v="7"/>
    <x v="10"/>
    <x v="310"/>
    <x v="1"/>
    <x v="8"/>
  </r>
  <r>
    <x v="48"/>
    <x v="780"/>
    <x v="3"/>
    <x v="11"/>
    <x v="11"/>
    <x v="1"/>
    <x v="0"/>
    <x v="2"/>
    <x v="202"/>
    <x v="1"/>
    <x v="8"/>
  </r>
  <r>
    <x v="48"/>
    <x v="781"/>
    <x v="4"/>
    <x v="1"/>
    <x v="1"/>
    <x v="1"/>
    <x v="0"/>
    <x v="56"/>
    <x v="217"/>
    <x v="1"/>
    <x v="8"/>
  </r>
  <r>
    <x v="48"/>
    <x v="782"/>
    <x v="4"/>
    <x v="4"/>
    <x v="4"/>
    <x v="1"/>
    <x v="0"/>
    <x v="14"/>
    <x v="116"/>
    <x v="1"/>
    <x v="8"/>
  </r>
  <r>
    <x v="48"/>
    <x v="783"/>
    <x v="4"/>
    <x v="6"/>
    <x v="6"/>
    <x v="0"/>
    <x v="9"/>
    <x v="17"/>
    <x v="209"/>
    <x v="1"/>
    <x v="8"/>
  </r>
  <r>
    <x v="48"/>
    <x v="784"/>
    <x v="5"/>
    <x v="2"/>
    <x v="2"/>
    <x v="1"/>
    <x v="0"/>
    <x v="59"/>
    <x v="256"/>
    <x v="1"/>
    <x v="8"/>
  </r>
  <r>
    <x v="48"/>
    <x v="785"/>
    <x v="5"/>
    <x v="4"/>
    <x v="4"/>
    <x v="1"/>
    <x v="0"/>
    <x v="8"/>
    <x v="68"/>
    <x v="1"/>
    <x v="8"/>
  </r>
  <r>
    <x v="48"/>
    <x v="786"/>
    <x v="5"/>
    <x v="9"/>
    <x v="9"/>
    <x v="6"/>
    <x v="5"/>
    <x v="3"/>
    <x v="145"/>
    <x v="1"/>
    <x v="8"/>
  </r>
  <r>
    <x v="49"/>
    <x v="787"/>
    <x v="0"/>
    <x v="5"/>
    <x v="5"/>
    <x v="2"/>
    <x v="1"/>
    <x v="30"/>
    <x v="244"/>
    <x v="1"/>
    <x v="8"/>
  </r>
  <r>
    <x v="49"/>
    <x v="788"/>
    <x v="1"/>
    <x v="10"/>
    <x v="10"/>
    <x v="3"/>
    <x v="2"/>
    <x v="16"/>
    <x v="314"/>
    <x v="1"/>
    <x v="8"/>
  </r>
  <r>
    <x v="49"/>
    <x v="789"/>
    <x v="1"/>
    <x v="2"/>
    <x v="2"/>
    <x v="1"/>
    <x v="0"/>
    <x v="39"/>
    <x v="188"/>
    <x v="1"/>
    <x v="8"/>
  </r>
  <r>
    <x v="49"/>
    <x v="790"/>
    <x v="2"/>
    <x v="10"/>
    <x v="10"/>
    <x v="7"/>
    <x v="6"/>
    <x v="4"/>
    <x v="203"/>
    <x v="1"/>
    <x v="8"/>
  </r>
  <r>
    <x v="49"/>
    <x v="791"/>
    <x v="2"/>
    <x v="5"/>
    <x v="5"/>
    <x v="1"/>
    <x v="0"/>
    <x v="8"/>
    <x v="80"/>
    <x v="1"/>
    <x v="8"/>
  </r>
  <r>
    <x v="49"/>
    <x v="792"/>
    <x v="2"/>
    <x v="6"/>
    <x v="6"/>
    <x v="1"/>
    <x v="0"/>
    <x v="4"/>
    <x v="73"/>
    <x v="1"/>
    <x v="8"/>
  </r>
  <r>
    <x v="49"/>
    <x v="793"/>
    <x v="3"/>
    <x v="10"/>
    <x v="10"/>
    <x v="4"/>
    <x v="3"/>
    <x v="13"/>
    <x v="307"/>
    <x v="1"/>
    <x v="8"/>
  </r>
  <r>
    <x v="49"/>
    <x v="794"/>
    <x v="3"/>
    <x v="1"/>
    <x v="1"/>
    <x v="2"/>
    <x v="1"/>
    <x v="5"/>
    <x v="16"/>
    <x v="1"/>
    <x v="8"/>
  </r>
  <r>
    <x v="49"/>
    <x v="795"/>
    <x v="3"/>
    <x v="8"/>
    <x v="8"/>
    <x v="0"/>
    <x v="9"/>
    <x v="2"/>
    <x v="89"/>
    <x v="1"/>
    <x v="8"/>
  </r>
  <r>
    <x v="49"/>
    <x v="796"/>
    <x v="4"/>
    <x v="5"/>
    <x v="5"/>
    <x v="7"/>
    <x v="6"/>
    <x v="11"/>
    <x v="110"/>
    <x v="1"/>
    <x v="8"/>
  </r>
  <r>
    <x v="49"/>
    <x v="797"/>
    <x v="4"/>
    <x v="6"/>
    <x v="6"/>
    <x v="8"/>
    <x v="7"/>
    <x v="18"/>
    <x v="218"/>
    <x v="1"/>
    <x v="8"/>
  </r>
  <r>
    <x v="49"/>
    <x v="798"/>
    <x v="5"/>
    <x v="2"/>
    <x v="2"/>
    <x v="1"/>
    <x v="0"/>
    <x v="37"/>
    <x v="178"/>
    <x v="1"/>
    <x v="8"/>
  </r>
  <r>
    <x v="50"/>
    <x v="799"/>
    <x v="0"/>
    <x v="3"/>
    <x v="3"/>
    <x v="1"/>
    <x v="0"/>
    <x v="20"/>
    <x v="141"/>
    <x v="1"/>
    <x v="8"/>
  </r>
  <r>
    <x v="50"/>
    <x v="800"/>
    <x v="0"/>
    <x v="9"/>
    <x v="9"/>
    <x v="7"/>
    <x v="6"/>
    <x v="15"/>
    <x v="298"/>
    <x v="1"/>
    <x v="8"/>
  </r>
  <r>
    <x v="50"/>
    <x v="801"/>
    <x v="0"/>
    <x v="5"/>
    <x v="5"/>
    <x v="2"/>
    <x v="1"/>
    <x v="41"/>
    <x v="288"/>
    <x v="1"/>
    <x v="8"/>
  </r>
  <r>
    <x v="50"/>
    <x v="802"/>
    <x v="0"/>
    <x v="9"/>
    <x v="9"/>
    <x v="1"/>
    <x v="0"/>
    <x v="0"/>
    <x v="77"/>
    <x v="1"/>
    <x v="8"/>
  </r>
  <r>
    <x v="50"/>
    <x v="803"/>
    <x v="0"/>
    <x v="9"/>
    <x v="9"/>
    <x v="8"/>
    <x v="7"/>
    <x v="7"/>
    <x v="216"/>
    <x v="1"/>
    <x v="8"/>
  </r>
  <r>
    <x v="50"/>
    <x v="804"/>
    <x v="1"/>
    <x v="7"/>
    <x v="7"/>
    <x v="1"/>
    <x v="0"/>
    <x v="16"/>
    <x v="232"/>
    <x v="1"/>
    <x v="8"/>
  </r>
  <r>
    <x v="50"/>
    <x v="805"/>
    <x v="1"/>
    <x v="1"/>
    <x v="1"/>
    <x v="1"/>
    <x v="0"/>
    <x v="27"/>
    <x v="110"/>
    <x v="1"/>
    <x v="8"/>
  </r>
  <r>
    <x v="50"/>
    <x v="806"/>
    <x v="1"/>
    <x v="9"/>
    <x v="9"/>
    <x v="1"/>
    <x v="0"/>
    <x v="14"/>
    <x v="292"/>
    <x v="1"/>
    <x v="8"/>
  </r>
  <r>
    <x v="50"/>
    <x v="807"/>
    <x v="2"/>
    <x v="6"/>
    <x v="6"/>
    <x v="5"/>
    <x v="4"/>
    <x v="15"/>
    <x v="193"/>
    <x v="1"/>
    <x v="8"/>
  </r>
  <r>
    <x v="50"/>
    <x v="808"/>
    <x v="2"/>
    <x v="8"/>
    <x v="8"/>
    <x v="1"/>
    <x v="0"/>
    <x v="7"/>
    <x v="174"/>
    <x v="1"/>
    <x v="8"/>
  </r>
  <r>
    <x v="50"/>
    <x v="809"/>
    <x v="2"/>
    <x v="2"/>
    <x v="2"/>
    <x v="3"/>
    <x v="2"/>
    <x v="11"/>
    <x v="51"/>
    <x v="1"/>
    <x v="8"/>
  </r>
  <r>
    <x v="50"/>
    <x v="810"/>
    <x v="3"/>
    <x v="9"/>
    <x v="9"/>
    <x v="0"/>
    <x v="9"/>
    <x v="11"/>
    <x v="268"/>
    <x v="1"/>
    <x v="8"/>
  </r>
  <r>
    <x v="50"/>
    <x v="811"/>
    <x v="3"/>
    <x v="3"/>
    <x v="3"/>
    <x v="5"/>
    <x v="4"/>
    <x v="32"/>
    <x v="210"/>
    <x v="1"/>
    <x v="8"/>
  </r>
  <r>
    <x v="50"/>
    <x v="812"/>
    <x v="3"/>
    <x v="9"/>
    <x v="9"/>
    <x v="1"/>
    <x v="0"/>
    <x v="2"/>
    <x v="124"/>
    <x v="1"/>
    <x v="8"/>
  </r>
  <r>
    <x v="50"/>
    <x v="813"/>
    <x v="4"/>
    <x v="7"/>
    <x v="7"/>
    <x v="6"/>
    <x v="5"/>
    <x v="2"/>
    <x v="65"/>
    <x v="1"/>
    <x v="8"/>
  </r>
  <r>
    <x v="50"/>
    <x v="814"/>
    <x v="5"/>
    <x v="5"/>
    <x v="5"/>
    <x v="5"/>
    <x v="4"/>
    <x v="43"/>
    <x v="291"/>
    <x v="1"/>
    <x v="8"/>
  </r>
  <r>
    <x v="50"/>
    <x v="815"/>
    <x v="5"/>
    <x v="1"/>
    <x v="1"/>
    <x v="1"/>
    <x v="0"/>
    <x v="28"/>
    <x v="112"/>
    <x v="1"/>
    <x v="8"/>
  </r>
  <r>
    <x v="50"/>
    <x v="816"/>
    <x v="5"/>
    <x v="7"/>
    <x v="7"/>
    <x v="1"/>
    <x v="0"/>
    <x v="3"/>
    <x v="76"/>
    <x v="1"/>
    <x v="8"/>
  </r>
  <r>
    <x v="51"/>
    <x v="817"/>
    <x v="0"/>
    <x v="5"/>
    <x v="5"/>
    <x v="0"/>
    <x v="9"/>
    <x v="19"/>
    <x v="174"/>
    <x v="1"/>
    <x v="8"/>
  </r>
  <r>
    <x v="51"/>
    <x v="818"/>
    <x v="0"/>
    <x v="10"/>
    <x v="10"/>
    <x v="1"/>
    <x v="0"/>
    <x v="9"/>
    <x v="281"/>
    <x v="1"/>
    <x v="8"/>
  </r>
  <r>
    <x v="51"/>
    <x v="819"/>
    <x v="0"/>
    <x v="8"/>
    <x v="8"/>
    <x v="6"/>
    <x v="5"/>
    <x v="23"/>
    <x v="306"/>
    <x v="1"/>
    <x v="8"/>
  </r>
  <r>
    <x v="51"/>
    <x v="820"/>
    <x v="0"/>
    <x v="8"/>
    <x v="8"/>
    <x v="2"/>
    <x v="1"/>
    <x v="27"/>
    <x v="313"/>
    <x v="1"/>
    <x v="8"/>
  </r>
  <r>
    <x v="51"/>
    <x v="821"/>
    <x v="1"/>
    <x v="5"/>
    <x v="5"/>
    <x v="8"/>
    <x v="7"/>
    <x v="44"/>
    <x v="294"/>
    <x v="1"/>
    <x v="8"/>
  </r>
  <r>
    <x v="51"/>
    <x v="822"/>
    <x v="1"/>
    <x v="2"/>
    <x v="2"/>
    <x v="3"/>
    <x v="2"/>
    <x v="35"/>
    <x v="170"/>
    <x v="1"/>
    <x v="8"/>
  </r>
  <r>
    <x v="51"/>
    <x v="823"/>
    <x v="1"/>
    <x v="1"/>
    <x v="1"/>
    <x v="1"/>
    <x v="0"/>
    <x v="2"/>
    <x v="6"/>
    <x v="1"/>
    <x v="8"/>
  </r>
  <r>
    <x v="51"/>
    <x v="824"/>
    <x v="2"/>
    <x v="3"/>
    <x v="3"/>
    <x v="2"/>
    <x v="1"/>
    <x v="43"/>
    <x v="261"/>
    <x v="1"/>
    <x v="8"/>
  </r>
  <r>
    <x v="51"/>
    <x v="825"/>
    <x v="2"/>
    <x v="1"/>
    <x v="1"/>
    <x v="1"/>
    <x v="0"/>
    <x v="25"/>
    <x v="97"/>
    <x v="1"/>
    <x v="8"/>
  </r>
  <r>
    <x v="51"/>
    <x v="826"/>
    <x v="2"/>
    <x v="8"/>
    <x v="8"/>
    <x v="7"/>
    <x v="6"/>
    <x v="1"/>
    <x v="73"/>
    <x v="1"/>
    <x v="8"/>
  </r>
  <r>
    <x v="51"/>
    <x v="827"/>
    <x v="2"/>
    <x v="8"/>
    <x v="8"/>
    <x v="1"/>
    <x v="0"/>
    <x v="10"/>
    <x v="213"/>
    <x v="1"/>
    <x v="8"/>
  </r>
  <r>
    <x v="51"/>
    <x v="828"/>
    <x v="3"/>
    <x v="2"/>
    <x v="2"/>
    <x v="3"/>
    <x v="2"/>
    <x v="54"/>
    <x v="242"/>
    <x v="1"/>
    <x v="8"/>
  </r>
  <r>
    <x v="51"/>
    <x v="829"/>
    <x v="3"/>
    <x v="5"/>
    <x v="5"/>
    <x v="1"/>
    <x v="0"/>
    <x v="14"/>
    <x v="136"/>
    <x v="1"/>
    <x v="8"/>
  </r>
  <r>
    <x v="51"/>
    <x v="830"/>
    <x v="4"/>
    <x v="6"/>
    <x v="6"/>
    <x v="2"/>
    <x v="1"/>
    <x v="4"/>
    <x v="73"/>
    <x v="1"/>
    <x v="8"/>
  </r>
  <r>
    <x v="51"/>
    <x v="831"/>
    <x v="5"/>
    <x v="2"/>
    <x v="2"/>
    <x v="0"/>
    <x v="9"/>
    <x v="48"/>
    <x v="221"/>
    <x v="1"/>
    <x v="8"/>
  </r>
  <r>
    <x v="51"/>
    <x v="832"/>
    <x v="5"/>
    <x v="8"/>
    <x v="8"/>
    <x v="1"/>
    <x v="0"/>
    <x v="1"/>
    <x v="73"/>
    <x v="1"/>
    <x v="8"/>
  </r>
  <r>
    <x v="51"/>
    <x v="833"/>
    <x v="5"/>
    <x v="2"/>
    <x v="2"/>
    <x v="1"/>
    <x v="0"/>
    <x v="38"/>
    <x v="183"/>
    <x v="1"/>
    <x v="8"/>
  </r>
  <r>
    <x v="52"/>
    <x v="834"/>
    <x v="0"/>
    <x v="11"/>
    <x v="11"/>
    <x v="1"/>
    <x v="0"/>
    <x v="6"/>
    <x v="282"/>
    <x v="1"/>
    <x v="8"/>
  </r>
  <r>
    <x v="52"/>
    <x v="835"/>
    <x v="0"/>
    <x v="8"/>
    <x v="8"/>
    <x v="2"/>
    <x v="1"/>
    <x v="18"/>
    <x v="288"/>
    <x v="1"/>
    <x v="8"/>
  </r>
  <r>
    <x v="52"/>
    <x v="836"/>
    <x v="0"/>
    <x v="2"/>
    <x v="2"/>
    <x v="1"/>
    <x v="0"/>
    <x v="11"/>
    <x v="51"/>
    <x v="1"/>
    <x v="8"/>
  </r>
  <r>
    <x v="52"/>
    <x v="837"/>
    <x v="0"/>
    <x v="7"/>
    <x v="7"/>
    <x v="1"/>
    <x v="0"/>
    <x v="17"/>
    <x v="241"/>
    <x v="1"/>
    <x v="8"/>
  </r>
  <r>
    <x v="52"/>
    <x v="838"/>
    <x v="0"/>
    <x v="8"/>
    <x v="8"/>
    <x v="1"/>
    <x v="0"/>
    <x v="9"/>
    <x v="202"/>
    <x v="1"/>
    <x v="8"/>
  </r>
  <r>
    <x v="52"/>
    <x v="839"/>
    <x v="1"/>
    <x v="11"/>
    <x v="11"/>
    <x v="1"/>
    <x v="0"/>
    <x v="11"/>
    <x v="313"/>
    <x v="1"/>
    <x v="8"/>
  </r>
  <r>
    <x v="52"/>
    <x v="840"/>
    <x v="2"/>
    <x v="8"/>
    <x v="8"/>
    <x v="1"/>
    <x v="0"/>
    <x v="6"/>
    <x v="158"/>
    <x v="1"/>
    <x v="8"/>
  </r>
  <r>
    <x v="52"/>
    <x v="841"/>
    <x v="2"/>
    <x v="0"/>
    <x v="0"/>
    <x v="1"/>
    <x v="0"/>
    <x v="33"/>
    <x v="90"/>
    <x v="1"/>
    <x v="8"/>
  </r>
  <r>
    <x v="52"/>
    <x v="842"/>
    <x v="3"/>
    <x v="7"/>
    <x v="7"/>
    <x v="6"/>
    <x v="5"/>
    <x v="19"/>
    <x v="257"/>
    <x v="1"/>
    <x v="8"/>
  </r>
  <r>
    <x v="52"/>
    <x v="843"/>
    <x v="3"/>
    <x v="9"/>
    <x v="9"/>
    <x v="3"/>
    <x v="2"/>
    <x v="11"/>
    <x v="268"/>
    <x v="1"/>
    <x v="8"/>
  </r>
  <r>
    <x v="52"/>
    <x v="844"/>
    <x v="4"/>
    <x v="1"/>
    <x v="1"/>
    <x v="1"/>
    <x v="0"/>
    <x v="5"/>
    <x v="16"/>
    <x v="1"/>
    <x v="8"/>
  </r>
  <r>
    <x v="52"/>
    <x v="845"/>
    <x v="5"/>
    <x v="1"/>
    <x v="1"/>
    <x v="1"/>
    <x v="0"/>
    <x v="13"/>
    <x v="48"/>
    <x v="1"/>
    <x v="8"/>
  </r>
  <r>
    <x v="53"/>
    <x v="846"/>
    <x v="0"/>
    <x v="1"/>
    <x v="1"/>
    <x v="1"/>
    <x v="0"/>
    <x v="22"/>
    <x v="85"/>
    <x v="2"/>
    <x v="8"/>
  </r>
  <r>
    <x v="53"/>
    <x v="847"/>
    <x v="0"/>
    <x v="2"/>
    <x v="2"/>
    <x v="1"/>
    <x v="0"/>
    <x v="23"/>
    <x v="113"/>
    <x v="2"/>
    <x v="8"/>
  </r>
  <r>
    <x v="53"/>
    <x v="848"/>
    <x v="0"/>
    <x v="4"/>
    <x v="4"/>
    <x v="1"/>
    <x v="0"/>
    <x v="9"/>
    <x v="74"/>
    <x v="2"/>
    <x v="8"/>
  </r>
  <r>
    <x v="53"/>
    <x v="849"/>
    <x v="0"/>
    <x v="9"/>
    <x v="9"/>
    <x v="9"/>
    <x v="8"/>
    <x v="6"/>
    <x v="201"/>
    <x v="2"/>
    <x v="8"/>
  </r>
  <r>
    <x v="53"/>
    <x v="850"/>
    <x v="1"/>
    <x v="3"/>
    <x v="3"/>
    <x v="1"/>
    <x v="0"/>
    <x v="27"/>
    <x v="185"/>
    <x v="2"/>
    <x v="8"/>
  </r>
  <r>
    <x v="53"/>
    <x v="851"/>
    <x v="1"/>
    <x v="11"/>
    <x v="11"/>
    <x v="4"/>
    <x v="3"/>
    <x v="11"/>
    <x v="313"/>
    <x v="2"/>
    <x v="8"/>
  </r>
  <r>
    <x v="53"/>
    <x v="852"/>
    <x v="1"/>
    <x v="10"/>
    <x v="10"/>
    <x v="8"/>
    <x v="7"/>
    <x v="7"/>
    <x v="255"/>
    <x v="2"/>
    <x v="8"/>
  </r>
  <r>
    <x v="53"/>
    <x v="853"/>
    <x v="2"/>
    <x v="4"/>
    <x v="4"/>
    <x v="6"/>
    <x v="5"/>
    <x v="15"/>
    <x v="123"/>
    <x v="2"/>
    <x v="8"/>
  </r>
  <r>
    <x v="53"/>
    <x v="854"/>
    <x v="2"/>
    <x v="1"/>
    <x v="1"/>
    <x v="1"/>
    <x v="0"/>
    <x v="57"/>
    <x v="220"/>
    <x v="2"/>
    <x v="8"/>
  </r>
  <r>
    <x v="53"/>
    <x v="855"/>
    <x v="2"/>
    <x v="8"/>
    <x v="8"/>
    <x v="4"/>
    <x v="3"/>
    <x v="3"/>
    <x v="110"/>
    <x v="2"/>
    <x v="8"/>
  </r>
  <r>
    <x v="53"/>
    <x v="856"/>
    <x v="2"/>
    <x v="4"/>
    <x v="4"/>
    <x v="1"/>
    <x v="0"/>
    <x v="0"/>
    <x v="11"/>
    <x v="2"/>
    <x v="8"/>
  </r>
  <r>
    <x v="53"/>
    <x v="857"/>
    <x v="2"/>
    <x v="9"/>
    <x v="9"/>
    <x v="1"/>
    <x v="0"/>
    <x v="2"/>
    <x v="124"/>
    <x v="2"/>
    <x v="8"/>
  </r>
  <r>
    <x v="53"/>
    <x v="858"/>
    <x v="3"/>
    <x v="8"/>
    <x v="8"/>
    <x v="1"/>
    <x v="0"/>
    <x v="1"/>
    <x v="73"/>
    <x v="2"/>
    <x v="8"/>
  </r>
  <r>
    <x v="53"/>
    <x v="859"/>
    <x v="4"/>
    <x v="6"/>
    <x v="6"/>
    <x v="1"/>
    <x v="0"/>
    <x v="21"/>
    <x v="240"/>
    <x v="2"/>
    <x v="8"/>
  </r>
  <r>
    <x v="53"/>
    <x v="860"/>
    <x v="5"/>
    <x v="0"/>
    <x v="0"/>
    <x v="6"/>
    <x v="5"/>
    <x v="12"/>
    <x v="26"/>
    <x v="2"/>
    <x v="8"/>
  </r>
  <r>
    <x v="53"/>
    <x v="861"/>
    <x v="5"/>
    <x v="10"/>
    <x v="10"/>
    <x v="1"/>
    <x v="0"/>
    <x v="10"/>
    <x v="289"/>
    <x v="2"/>
    <x v="8"/>
  </r>
  <r>
    <x v="53"/>
    <x v="862"/>
    <x v="5"/>
    <x v="9"/>
    <x v="9"/>
    <x v="7"/>
    <x v="6"/>
    <x v="9"/>
    <x v="246"/>
    <x v="2"/>
    <x v="8"/>
  </r>
  <r>
    <x v="54"/>
    <x v="863"/>
    <x v="0"/>
    <x v="11"/>
    <x v="11"/>
    <x v="1"/>
    <x v="0"/>
    <x v="2"/>
    <x v="202"/>
    <x v="2"/>
    <x v="9"/>
  </r>
  <r>
    <x v="54"/>
    <x v="864"/>
    <x v="0"/>
    <x v="2"/>
    <x v="2"/>
    <x v="9"/>
    <x v="8"/>
    <x v="38"/>
    <x v="183"/>
    <x v="2"/>
    <x v="9"/>
  </r>
  <r>
    <x v="54"/>
    <x v="865"/>
    <x v="1"/>
    <x v="10"/>
    <x v="10"/>
    <x v="4"/>
    <x v="3"/>
    <x v="12"/>
    <x v="302"/>
    <x v="2"/>
    <x v="9"/>
  </r>
  <r>
    <x v="54"/>
    <x v="866"/>
    <x v="1"/>
    <x v="7"/>
    <x v="7"/>
    <x v="1"/>
    <x v="0"/>
    <x v="22"/>
    <x v="276"/>
    <x v="2"/>
    <x v="9"/>
  </r>
  <r>
    <x v="54"/>
    <x v="867"/>
    <x v="1"/>
    <x v="7"/>
    <x v="7"/>
    <x v="2"/>
    <x v="1"/>
    <x v="5"/>
    <x v="106"/>
    <x v="2"/>
    <x v="9"/>
  </r>
  <r>
    <x v="54"/>
    <x v="868"/>
    <x v="1"/>
    <x v="7"/>
    <x v="7"/>
    <x v="9"/>
    <x v="8"/>
    <x v="20"/>
    <x v="265"/>
    <x v="2"/>
    <x v="9"/>
  </r>
  <r>
    <x v="54"/>
    <x v="869"/>
    <x v="2"/>
    <x v="5"/>
    <x v="5"/>
    <x v="2"/>
    <x v="1"/>
    <x v="1"/>
    <x v="24"/>
    <x v="2"/>
    <x v="9"/>
  </r>
  <r>
    <x v="54"/>
    <x v="870"/>
    <x v="2"/>
    <x v="3"/>
    <x v="3"/>
    <x v="4"/>
    <x v="3"/>
    <x v="44"/>
    <x v="264"/>
    <x v="2"/>
    <x v="9"/>
  </r>
  <r>
    <x v="54"/>
    <x v="871"/>
    <x v="3"/>
    <x v="10"/>
    <x v="10"/>
    <x v="6"/>
    <x v="5"/>
    <x v="13"/>
    <x v="307"/>
    <x v="2"/>
    <x v="9"/>
  </r>
  <r>
    <x v="54"/>
    <x v="872"/>
    <x v="4"/>
    <x v="3"/>
    <x v="3"/>
    <x v="4"/>
    <x v="3"/>
    <x v="26"/>
    <x v="177"/>
    <x v="2"/>
    <x v="9"/>
  </r>
  <r>
    <x v="54"/>
    <x v="873"/>
    <x v="5"/>
    <x v="8"/>
    <x v="8"/>
    <x v="7"/>
    <x v="6"/>
    <x v="27"/>
    <x v="313"/>
    <x v="2"/>
    <x v="9"/>
  </r>
  <r>
    <x v="55"/>
    <x v="874"/>
    <x v="0"/>
    <x v="8"/>
    <x v="8"/>
    <x v="2"/>
    <x v="1"/>
    <x v="24"/>
    <x v="308"/>
    <x v="2"/>
    <x v="9"/>
  </r>
  <r>
    <x v="55"/>
    <x v="875"/>
    <x v="1"/>
    <x v="0"/>
    <x v="0"/>
    <x v="1"/>
    <x v="0"/>
    <x v="14"/>
    <x v="33"/>
    <x v="2"/>
    <x v="9"/>
  </r>
  <r>
    <x v="55"/>
    <x v="876"/>
    <x v="1"/>
    <x v="8"/>
    <x v="8"/>
    <x v="0"/>
    <x v="9"/>
    <x v="6"/>
    <x v="158"/>
    <x v="2"/>
    <x v="9"/>
  </r>
  <r>
    <x v="55"/>
    <x v="877"/>
    <x v="1"/>
    <x v="4"/>
    <x v="4"/>
    <x v="1"/>
    <x v="0"/>
    <x v="39"/>
    <x v="263"/>
    <x v="2"/>
    <x v="9"/>
  </r>
  <r>
    <x v="55"/>
    <x v="878"/>
    <x v="2"/>
    <x v="9"/>
    <x v="9"/>
    <x v="4"/>
    <x v="3"/>
    <x v="12"/>
    <x v="279"/>
    <x v="2"/>
    <x v="9"/>
  </r>
  <r>
    <x v="55"/>
    <x v="879"/>
    <x v="3"/>
    <x v="11"/>
    <x v="11"/>
    <x v="1"/>
    <x v="0"/>
    <x v="5"/>
    <x v="267"/>
    <x v="2"/>
    <x v="9"/>
  </r>
  <r>
    <x v="55"/>
    <x v="880"/>
    <x v="3"/>
    <x v="8"/>
    <x v="8"/>
    <x v="8"/>
    <x v="7"/>
    <x v="19"/>
    <x v="291"/>
    <x v="2"/>
    <x v="9"/>
  </r>
  <r>
    <x v="55"/>
    <x v="881"/>
    <x v="3"/>
    <x v="1"/>
    <x v="1"/>
    <x v="1"/>
    <x v="0"/>
    <x v="46"/>
    <x v="186"/>
    <x v="2"/>
    <x v="9"/>
  </r>
  <r>
    <x v="55"/>
    <x v="882"/>
    <x v="3"/>
    <x v="11"/>
    <x v="11"/>
    <x v="1"/>
    <x v="0"/>
    <x v="5"/>
    <x v="267"/>
    <x v="2"/>
    <x v="9"/>
  </r>
  <r>
    <x v="55"/>
    <x v="883"/>
    <x v="4"/>
    <x v="2"/>
    <x v="2"/>
    <x v="3"/>
    <x v="2"/>
    <x v="36"/>
    <x v="175"/>
    <x v="2"/>
    <x v="9"/>
  </r>
  <r>
    <x v="55"/>
    <x v="884"/>
    <x v="4"/>
    <x v="1"/>
    <x v="1"/>
    <x v="9"/>
    <x v="8"/>
    <x v="57"/>
    <x v="220"/>
    <x v="2"/>
    <x v="9"/>
  </r>
  <r>
    <x v="55"/>
    <x v="885"/>
    <x v="4"/>
    <x v="2"/>
    <x v="2"/>
    <x v="1"/>
    <x v="0"/>
    <x v="57"/>
    <x v="250"/>
    <x v="2"/>
    <x v="9"/>
  </r>
  <r>
    <x v="55"/>
    <x v="886"/>
    <x v="5"/>
    <x v="6"/>
    <x v="6"/>
    <x v="8"/>
    <x v="7"/>
    <x v="15"/>
    <x v="193"/>
    <x v="2"/>
    <x v="9"/>
  </r>
  <r>
    <x v="55"/>
    <x v="887"/>
    <x v="5"/>
    <x v="8"/>
    <x v="8"/>
    <x v="1"/>
    <x v="0"/>
    <x v="13"/>
    <x v="248"/>
    <x v="2"/>
    <x v="9"/>
  </r>
  <r>
    <x v="55"/>
    <x v="888"/>
    <x v="5"/>
    <x v="9"/>
    <x v="9"/>
    <x v="0"/>
    <x v="9"/>
    <x v="0"/>
    <x v="77"/>
    <x v="2"/>
    <x v="9"/>
  </r>
  <r>
    <x v="56"/>
    <x v="889"/>
    <x v="0"/>
    <x v="11"/>
    <x v="11"/>
    <x v="1"/>
    <x v="0"/>
    <x v="1"/>
    <x v="174"/>
    <x v="2"/>
    <x v="9"/>
  </r>
  <r>
    <x v="56"/>
    <x v="890"/>
    <x v="0"/>
    <x v="0"/>
    <x v="0"/>
    <x v="2"/>
    <x v="1"/>
    <x v="25"/>
    <x v="67"/>
    <x v="2"/>
    <x v="9"/>
  </r>
  <r>
    <x v="56"/>
    <x v="891"/>
    <x v="1"/>
    <x v="2"/>
    <x v="2"/>
    <x v="5"/>
    <x v="4"/>
    <x v="55"/>
    <x v="245"/>
    <x v="2"/>
    <x v="9"/>
  </r>
  <r>
    <x v="56"/>
    <x v="892"/>
    <x v="1"/>
    <x v="7"/>
    <x v="7"/>
    <x v="1"/>
    <x v="0"/>
    <x v="6"/>
    <x v="119"/>
    <x v="2"/>
    <x v="9"/>
  </r>
  <r>
    <x v="56"/>
    <x v="893"/>
    <x v="2"/>
    <x v="9"/>
    <x v="9"/>
    <x v="9"/>
    <x v="8"/>
    <x v="16"/>
    <x v="301"/>
    <x v="2"/>
    <x v="9"/>
  </r>
  <r>
    <x v="56"/>
    <x v="894"/>
    <x v="3"/>
    <x v="9"/>
    <x v="9"/>
    <x v="1"/>
    <x v="0"/>
    <x v="14"/>
    <x v="292"/>
    <x v="2"/>
    <x v="9"/>
  </r>
  <r>
    <x v="56"/>
    <x v="895"/>
    <x v="3"/>
    <x v="3"/>
    <x v="3"/>
    <x v="5"/>
    <x v="4"/>
    <x v="38"/>
    <x v="237"/>
    <x v="2"/>
    <x v="9"/>
  </r>
  <r>
    <x v="56"/>
    <x v="896"/>
    <x v="3"/>
    <x v="3"/>
    <x v="3"/>
    <x v="1"/>
    <x v="0"/>
    <x v="41"/>
    <x v="250"/>
    <x v="2"/>
    <x v="9"/>
  </r>
  <r>
    <x v="56"/>
    <x v="897"/>
    <x v="4"/>
    <x v="8"/>
    <x v="8"/>
    <x v="1"/>
    <x v="0"/>
    <x v="23"/>
    <x v="306"/>
    <x v="2"/>
    <x v="9"/>
  </r>
  <r>
    <x v="56"/>
    <x v="898"/>
    <x v="4"/>
    <x v="0"/>
    <x v="0"/>
    <x v="0"/>
    <x v="9"/>
    <x v="56"/>
    <x v="165"/>
    <x v="2"/>
    <x v="9"/>
  </r>
  <r>
    <x v="56"/>
    <x v="899"/>
    <x v="4"/>
    <x v="7"/>
    <x v="7"/>
    <x v="0"/>
    <x v="9"/>
    <x v="16"/>
    <x v="232"/>
    <x v="2"/>
    <x v="9"/>
  </r>
  <r>
    <x v="56"/>
    <x v="900"/>
    <x v="4"/>
    <x v="6"/>
    <x v="6"/>
    <x v="1"/>
    <x v="0"/>
    <x v="7"/>
    <x v="110"/>
    <x v="2"/>
    <x v="9"/>
  </r>
  <r>
    <x v="56"/>
    <x v="901"/>
    <x v="5"/>
    <x v="5"/>
    <x v="5"/>
    <x v="6"/>
    <x v="5"/>
    <x v="18"/>
    <x v="167"/>
    <x v="2"/>
    <x v="9"/>
  </r>
  <r>
    <x v="56"/>
    <x v="902"/>
    <x v="5"/>
    <x v="8"/>
    <x v="8"/>
    <x v="7"/>
    <x v="6"/>
    <x v="23"/>
    <x v="306"/>
    <x v="2"/>
    <x v="9"/>
  </r>
  <r>
    <x v="56"/>
    <x v="903"/>
    <x v="5"/>
    <x v="2"/>
    <x v="2"/>
    <x v="1"/>
    <x v="0"/>
    <x v="46"/>
    <x v="214"/>
    <x v="2"/>
    <x v="9"/>
  </r>
  <r>
    <x v="57"/>
    <x v="904"/>
    <x v="0"/>
    <x v="0"/>
    <x v="0"/>
    <x v="6"/>
    <x v="5"/>
    <x v="26"/>
    <x v="69"/>
    <x v="2"/>
    <x v="9"/>
  </r>
  <r>
    <x v="57"/>
    <x v="905"/>
    <x v="0"/>
    <x v="0"/>
    <x v="0"/>
    <x v="4"/>
    <x v="3"/>
    <x v="40"/>
    <x v="115"/>
    <x v="2"/>
    <x v="9"/>
  </r>
  <r>
    <x v="57"/>
    <x v="906"/>
    <x v="0"/>
    <x v="4"/>
    <x v="4"/>
    <x v="1"/>
    <x v="0"/>
    <x v="29"/>
    <x v="214"/>
    <x v="2"/>
    <x v="9"/>
  </r>
  <r>
    <x v="57"/>
    <x v="907"/>
    <x v="0"/>
    <x v="8"/>
    <x v="8"/>
    <x v="6"/>
    <x v="5"/>
    <x v="10"/>
    <x v="213"/>
    <x v="2"/>
    <x v="9"/>
  </r>
  <r>
    <x v="57"/>
    <x v="908"/>
    <x v="0"/>
    <x v="2"/>
    <x v="2"/>
    <x v="8"/>
    <x v="7"/>
    <x v="58"/>
    <x v="252"/>
    <x v="2"/>
    <x v="9"/>
  </r>
  <r>
    <x v="57"/>
    <x v="909"/>
    <x v="1"/>
    <x v="11"/>
    <x v="11"/>
    <x v="1"/>
    <x v="0"/>
    <x v="11"/>
    <x v="313"/>
    <x v="2"/>
    <x v="9"/>
  </r>
  <r>
    <x v="57"/>
    <x v="910"/>
    <x v="1"/>
    <x v="4"/>
    <x v="4"/>
    <x v="4"/>
    <x v="3"/>
    <x v="5"/>
    <x v="47"/>
    <x v="2"/>
    <x v="9"/>
  </r>
  <r>
    <x v="57"/>
    <x v="911"/>
    <x v="2"/>
    <x v="9"/>
    <x v="9"/>
    <x v="7"/>
    <x v="6"/>
    <x v="9"/>
    <x v="246"/>
    <x v="2"/>
    <x v="9"/>
  </r>
  <r>
    <x v="57"/>
    <x v="912"/>
    <x v="2"/>
    <x v="2"/>
    <x v="2"/>
    <x v="1"/>
    <x v="0"/>
    <x v="30"/>
    <x v="148"/>
    <x v="2"/>
    <x v="9"/>
  </r>
  <r>
    <x v="57"/>
    <x v="913"/>
    <x v="2"/>
    <x v="1"/>
    <x v="1"/>
    <x v="1"/>
    <x v="0"/>
    <x v="46"/>
    <x v="186"/>
    <x v="2"/>
    <x v="9"/>
  </r>
  <r>
    <x v="57"/>
    <x v="914"/>
    <x v="2"/>
    <x v="0"/>
    <x v="0"/>
    <x v="4"/>
    <x v="3"/>
    <x v="25"/>
    <x v="67"/>
    <x v="2"/>
    <x v="9"/>
  </r>
  <r>
    <x v="57"/>
    <x v="915"/>
    <x v="3"/>
    <x v="2"/>
    <x v="2"/>
    <x v="8"/>
    <x v="7"/>
    <x v="40"/>
    <x v="192"/>
    <x v="2"/>
    <x v="9"/>
  </r>
  <r>
    <x v="57"/>
    <x v="916"/>
    <x v="3"/>
    <x v="8"/>
    <x v="8"/>
    <x v="2"/>
    <x v="1"/>
    <x v="22"/>
    <x v="304"/>
    <x v="2"/>
    <x v="9"/>
  </r>
  <r>
    <x v="57"/>
    <x v="917"/>
    <x v="3"/>
    <x v="0"/>
    <x v="0"/>
    <x v="0"/>
    <x v="9"/>
    <x v="39"/>
    <x v="111"/>
    <x v="2"/>
    <x v="9"/>
  </r>
  <r>
    <x v="57"/>
    <x v="918"/>
    <x v="4"/>
    <x v="5"/>
    <x v="5"/>
    <x v="1"/>
    <x v="0"/>
    <x v="2"/>
    <x v="32"/>
    <x v="2"/>
    <x v="9"/>
  </r>
  <r>
    <x v="57"/>
    <x v="919"/>
    <x v="4"/>
    <x v="9"/>
    <x v="9"/>
    <x v="1"/>
    <x v="0"/>
    <x v="3"/>
    <x v="145"/>
    <x v="2"/>
    <x v="9"/>
  </r>
  <r>
    <x v="57"/>
    <x v="920"/>
    <x v="4"/>
    <x v="4"/>
    <x v="4"/>
    <x v="7"/>
    <x v="6"/>
    <x v="35"/>
    <x v="245"/>
    <x v="2"/>
    <x v="9"/>
  </r>
  <r>
    <x v="57"/>
    <x v="921"/>
    <x v="4"/>
    <x v="10"/>
    <x v="10"/>
    <x v="9"/>
    <x v="8"/>
    <x v="0"/>
    <x v="105"/>
    <x v="2"/>
    <x v="9"/>
  </r>
  <r>
    <x v="57"/>
    <x v="922"/>
    <x v="5"/>
    <x v="2"/>
    <x v="2"/>
    <x v="3"/>
    <x v="2"/>
    <x v="46"/>
    <x v="214"/>
    <x v="2"/>
    <x v="9"/>
  </r>
  <r>
    <x v="57"/>
    <x v="923"/>
    <x v="5"/>
    <x v="10"/>
    <x v="10"/>
    <x v="1"/>
    <x v="0"/>
    <x v="11"/>
    <x v="296"/>
    <x v="2"/>
    <x v="9"/>
  </r>
  <r>
    <x v="58"/>
    <x v="924"/>
    <x v="0"/>
    <x v="3"/>
    <x v="3"/>
    <x v="3"/>
    <x v="2"/>
    <x v="8"/>
    <x v="59"/>
    <x v="2"/>
    <x v="9"/>
  </r>
  <r>
    <x v="58"/>
    <x v="925"/>
    <x v="1"/>
    <x v="8"/>
    <x v="8"/>
    <x v="1"/>
    <x v="0"/>
    <x v="27"/>
    <x v="313"/>
    <x v="2"/>
    <x v="9"/>
  </r>
  <r>
    <x v="58"/>
    <x v="926"/>
    <x v="1"/>
    <x v="9"/>
    <x v="9"/>
    <x v="1"/>
    <x v="0"/>
    <x v="14"/>
    <x v="292"/>
    <x v="2"/>
    <x v="9"/>
  </r>
  <r>
    <x v="58"/>
    <x v="927"/>
    <x v="1"/>
    <x v="11"/>
    <x v="11"/>
    <x v="1"/>
    <x v="0"/>
    <x v="7"/>
    <x v="291"/>
    <x v="2"/>
    <x v="9"/>
  </r>
  <r>
    <x v="58"/>
    <x v="928"/>
    <x v="2"/>
    <x v="7"/>
    <x v="7"/>
    <x v="1"/>
    <x v="0"/>
    <x v="1"/>
    <x v="52"/>
    <x v="2"/>
    <x v="9"/>
  </r>
  <r>
    <x v="58"/>
    <x v="929"/>
    <x v="2"/>
    <x v="8"/>
    <x v="8"/>
    <x v="1"/>
    <x v="0"/>
    <x v="0"/>
    <x v="56"/>
    <x v="2"/>
    <x v="9"/>
  </r>
  <r>
    <x v="58"/>
    <x v="930"/>
    <x v="2"/>
    <x v="10"/>
    <x v="10"/>
    <x v="1"/>
    <x v="0"/>
    <x v="8"/>
    <x v="270"/>
    <x v="2"/>
    <x v="9"/>
  </r>
  <r>
    <x v="58"/>
    <x v="931"/>
    <x v="3"/>
    <x v="1"/>
    <x v="1"/>
    <x v="1"/>
    <x v="0"/>
    <x v="26"/>
    <x v="103"/>
    <x v="2"/>
    <x v="9"/>
  </r>
  <r>
    <x v="58"/>
    <x v="932"/>
    <x v="4"/>
    <x v="9"/>
    <x v="9"/>
    <x v="1"/>
    <x v="0"/>
    <x v="8"/>
    <x v="230"/>
    <x v="2"/>
    <x v="9"/>
  </r>
  <r>
    <x v="58"/>
    <x v="933"/>
    <x v="5"/>
    <x v="4"/>
    <x v="4"/>
    <x v="2"/>
    <x v="1"/>
    <x v="17"/>
    <x v="138"/>
    <x v="2"/>
    <x v="9"/>
  </r>
  <r>
    <x v="58"/>
    <x v="934"/>
    <x v="5"/>
    <x v="6"/>
    <x v="6"/>
    <x v="2"/>
    <x v="1"/>
    <x v="22"/>
    <x v="248"/>
    <x v="2"/>
    <x v="9"/>
  </r>
  <r>
    <x v="59"/>
    <x v="935"/>
    <x v="0"/>
    <x v="11"/>
    <x v="11"/>
    <x v="1"/>
    <x v="0"/>
    <x v="8"/>
    <x v="299"/>
    <x v="2"/>
    <x v="9"/>
  </r>
  <r>
    <x v="59"/>
    <x v="936"/>
    <x v="0"/>
    <x v="10"/>
    <x v="10"/>
    <x v="1"/>
    <x v="0"/>
    <x v="14"/>
    <x v="309"/>
    <x v="2"/>
    <x v="9"/>
  </r>
  <r>
    <x v="59"/>
    <x v="937"/>
    <x v="0"/>
    <x v="11"/>
    <x v="11"/>
    <x v="3"/>
    <x v="2"/>
    <x v="9"/>
    <x v="306"/>
    <x v="2"/>
    <x v="9"/>
  </r>
  <r>
    <x v="59"/>
    <x v="938"/>
    <x v="0"/>
    <x v="2"/>
    <x v="2"/>
    <x v="0"/>
    <x v="9"/>
    <x v="15"/>
    <x v="70"/>
    <x v="2"/>
    <x v="9"/>
  </r>
  <r>
    <x v="59"/>
    <x v="939"/>
    <x v="1"/>
    <x v="3"/>
    <x v="3"/>
    <x v="2"/>
    <x v="1"/>
    <x v="33"/>
    <x v="215"/>
    <x v="2"/>
    <x v="9"/>
  </r>
  <r>
    <x v="59"/>
    <x v="940"/>
    <x v="1"/>
    <x v="1"/>
    <x v="1"/>
    <x v="1"/>
    <x v="0"/>
    <x v="38"/>
    <x v="154"/>
    <x v="2"/>
    <x v="9"/>
  </r>
  <r>
    <x v="59"/>
    <x v="941"/>
    <x v="2"/>
    <x v="1"/>
    <x v="1"/>
    <x v="1"/>
    <x v="0"/>
    <x v="7"/>
    <x v="24"/>
    <x v="2"/>
    <x v="9"/>
  </r>
  <r>
    <x v="59"/>
    <x v="942"/>
    <x v="2"/>
    <x v="10"/>
    <x v="10"/>
    <x v="1"/>
    <x v="0"/>
    <x v="5"/>
    <x v="222"/>
    <x v="2"/>
    <x v="9"/>
  </r>
  <r>
    <x v="59"/>
    <x v="943"/>
    <x v="2"/>
    <x v="11"/>
    <x v="11"/>
    <x v="0"/>
    <x v="9"/>
    <x v="1"/>
    <x v="174"/>
    <x v="2"/>
    <x v="9"/>
  </r>
  <r>
    <x v="59"/>
    <x v="944"/>
    <x v="2"/>
    <x v="4"/>
    <x v="4"/>
    <x v="1"/>
    <x v="0"/>
    <x v="32"/>
    <x v="229"/>
    <x v="2"/>
    <x v="9"/>
  </r>
  <r>
    <x v="59"/>
    <x v="945"/>
    <x v="2"/>
    <x v="10"/>
    <x v="10"/>
    <x v="1"/>
    <x v="0"/>
    <x v="1"/>
    <x v="132"/>
    <x v="2"/>
    <x v="9"/>
  </r>
  <r>
    <x v="59"/>
    <x v="946"/>
    <x v="3"/>
    <x v="2"/>
    <x v="2"/>
    <x v="1"/>
    <x v="0"/>
    <x v="6"/>
    <x v="28"/>
    <x v="2"/>
    <x v="9"/>
  </r>
  <r>
    <x v="59"/>
    <x v="947"/>
    <x v="3"/>
    <x v="3"/>
    <x v="3"/>
    <x v="1"/>
    <x v="0"/>
    <x v="31"/>
    <x v="205"/>
    <x v="2"/>
    <x v="9"/>
  </r>
  <r>
    <x v="59"/>
    <x v="948"/>
    <x v="4"/>
    <x v="0"/>
    <x v="0"/>
    <x v="1"/>
    <x v="0"/>
    <x v="20"/>
    <x v="49"/>
    <x v="2"/>
    <x v="9"/>
  </r>
  <r>
    <x v="59"/>
    <x v="949"/>
    <x v="4"/>
    <x v="10"/>
    <x v="10"/>
    <x v="9"/>
    <x v="8"/>
    <x v="3"/>
    <x v="180"/>
    <x v="2"/>
    <x v="9"/>
  </r>
  <r>
    <x v="59"/>
    <x v="950"/>
    <x v="4"/>
    <x v="11"/>
    <x v="11"/>
    <x v="3"/>
    <x v="2"/>
    <x v="10"/>
    <x v="310"/>
    <x v="2"/>
    <x v="9"/>
  </r>
  <r>
    <x v="59"/>
    <x v="951"/>
    <x v="5"/>
    <x v="1"/>
    <x v="1"/>
    <x v="1"/>
    <x v="0"/>
    <x v="54"/>
    <x v="211"/>
    <x v="2"/>
    <x v="9"/>
  </r>
  <r>
    <x v="59"/>
    <x v="952"/>
    <x v="5"/>
    <x v="6"/>
    <x v="6"/>
    <x v="1"/>
    <x v="0"/>
    <x v="9"/>
    <x v="131"/>
    <x v="2"/>
    <x v="9"/>
  </r>
  <r>
    <x v="60"/>
    <x v="953"/>
    <x v="0"/>
    <x v="8"/>
    <x v="8"/>
    <x v="1"/>
    <x v="0"/>
    <x v="27"/>
    <x v="313"/>
    <x v="2"/>
    <x v="10"/>
  </r>
  <r>
    <x v="60"/>
    <x v="954"/>
    <x v="0"/>
    <x v="11"/>
    <x v="11"/>
    <x v="1"/>
    <x v="0"/>
    <x v="2"/>
    <x v="202"/>
    <x v="2"/>
    <x v="10"/>
  </r>
  <r>
    <x v="60"/>
    <x v="955"/>
    <x v="0"/>
    <x v="0"/>
    <x v="0"/>
    <x v="1"/>
    <x v="0"/>
    <x v="17"/>
    <x v="44"/>
    <x v="2"/>
    <x v="10"/>
  </r>
  <r>
    <x v="60"/>
    <x v="956"/>
    <x v="1"/>
    <x v="8"/>
    <x v="8"/>
    <x v="5"/>
    <x v="4"/>
    <x v="15"/>
    <x v="267"/>
    <x v="2"/>
    <x v="10"/>
  </r>
  <r>
    <x v="60"/>
    <x v="957"/>
    <x v="1"/>
    <x v="4"/>
    <x v="4"/>
    <x v="1"/>
    <x v="0"/>
    <x v="33"/>
    <x v="235"/>
    <x v="2"/>
    <x v="10"/>
  </r>
  <r>
    <x v="60"/>
    <x v="958"/>
    <x v="1"/>
    <x v="6"/>
    <x v="6"/>
    <x v="1"/>
    <x v="0"/>
    <x v="21"/>
    <x v="240"/>
    <x v="2"/>
    <x v="10"/>
  </r>
  <r>
    <x v="60"/>
    <x v="959"/>
    <x v="1"/>
    <x v="8"/>
    <x v="8"/>
    <x v="1"/>
    <x v="0"/>
    <x v="9"/>
    <x v="202"/>
    <x v="2"/>
    <x v="10"/>
  </r>
  <r>
    <x v="60"/>
    <x v="960"/>
    <x v="2"/>
    <x v="4"/>
    <x v="4"/>
    <x v="6"/>
    <x v="5"/>
    <x v="39"/>
    <x v="263"/>
    <x v="2"/>
    <x v="10"/>
  </r>
  <r>
    <x v="60"/>
    <x v="961"/>
    <x v="2"/>
    <x v="8"/>
    <x v="8"/>
    <x v="1"/>
    <x v="0"/>
    <x v="10"/>
    <x v="213"/>
    <x v="2"/>
    <x v="10"/>
  </r>
  <r>
    <x v="60"/>
    <x v="962"/>
    <x v="2"/>
    <x v="6"/>
    <x v="6"/>
    <x v="1"/>
    <x v="0"/>
    <x v="26"/>
    <x v="272"/>
    <x v="2"/>
    <x v="10"/>
  </r>
  <r>
    <x v="60"/>
    <x v="963"/>
    <x v="3"/>
    <x v="5"/>
    <x v="5"/>
    <x v="1"/>
    <x v="0"/>
    <x v="26"/>
    <x v="220"/>
    <x v="2"/>
    <x v="10"/>
  </r>
  <r>
    <x v="60"/>
    <x v="964"/>
    <x v="3"/>
    <x v="4"/>
    <x v="4"/>
    <x v="1"/>
    <x v="0"/>
    <x v="25"/>
    <x v="192"/>
    <x v="2"/>
    <x v="10"/>
  </r>
  <r>
    <x v="60"/>
    <x v="965"/>
    <x v="4"/>
    <x v="4"/>
    <x v="4"/>
    <x v="3"/>
    <x v="2"/>
    <x v="21"/>
    <x v="167"/>
    <x v="2"/>
    <x v="10"/>
  </r>
  <r>
    <x v="60"/>
    <x v="966"/>
    <x v="4"/>
    <x v="9"/>
    <x v="9"/>
    <x v="6"/>
    <x v="5"/>
    <x v="1"/>
    <x v="100"/>
    <x v="2"/>
    <x v="10"/>
  </r>
  <r>
    <x v="60"/>
    <x v="967"/>
    <x v="4"/>
    <x v="4"/>
    <x v="4"/>
    <x v="1"/>
    <x v="0"/>
    <x v="32"/>
    <x v="229"/>
    <x v="2"/>
    <x v="10"/>
  </r>
  <r>
    <x v="60"/>
    <x v="968"/>
    <x v="4"/>
    <x v="7"/>
    <x v="7"/>
    <x v="5"/>
    <x v="4"/>
    <x v="19"/>
    <x v="257"/>
    <x v="2"/>
    <x v="10"/>
  </r>
  <r>
    <x v="60"/>
    <x v="969"/>
    <x v="5"/>
    <x v="1"/>
    <x v="1"/>
    <x v="6"/>
    <x v="5"/>
    <x v="30"/>
    <x v="122"/>
    <x v="2"/>
    <x v="10"/>
  </r>
  <r>
    <x v="60"/>
    <x v="970"/>
    <x v="5"/>
    <x v="0"/>
    <x v="0"/>
    <x v="3"/>
    <x v="2"/>
    <x v="20"/>
    <x v="49"/>
    <x v="2"/>
    <x v="10"/>
  </r>
  <r>
    <x v="61"/>
    <x v="971"/>
    <x v="0"/>
    <x v="5"/>
    <x v="5"/>
    <x v="1"/>
    <x v="0"/>
    <x v="10"/>
    <x v="97"/>
    <x v="2"/>
    <x v="10"/>
  </r>
  <r>
    <x v="61"/>
    <x v="972"/>
    <x v="0"/>
    <x v="10"/>
    <x v="10"/>
    <x v="1"/>
    <x v="0"/>
    <x v="11"/>
    <x v="296"/>
    <x v="2"/>
    <x v="10"/>
  </r>
  <r>
    <x v="61"/>
    <x v="973"/>
    <x v="1"/>
    <x v="3"/>
    <x v="3"/>
    <x v="1"/>
    <x v="0"/>
    <x v="1"/>
    <x v="14"/>
    <x v="2"/>
    <x v="10"/>
  </r>
  <r>
    <x v="61"/>
    <x v="974"/>
    <x v="2"/>
    <x v="2"/>
    <x v="2"/>
    <x v="0"/>
    <x v="9"/>
    <x v="25"/>
    <x v="123"/>
    <x v="2"/>
    <x v="10"/>
  </r>
  <r>
    <x v="61"/>
    <x v="975"/>
    <x v="2"/>
    <x v="11"/>
    <x v="11"/>
    <x v="1"/>
    <x v="0"/>
    <x v="4"/>
    <x v="248"/>
    <x v="2"/>
    <x v="10"/>
  </r>
  <r>
    <x v="61"/>
    <x v="976"/>
    <x v="2"/>
    <x v="5"/>
    <x v="5"/>
    <x v="9"/>
    <x v="8"/>
    <x v="22"/>
    <x v="195"/>
    <x v="2"/>
    <x v="10"/>
  </r>
  <r>
    <x v="61"/>
    <x v="977"/>
    <x v="2"/>
    <x v="7"/>
    <x v="7"/>
    <x v="1"/>
    <x v="0"/>
    <x v="29"/>
    <x v="303"/>
    <x v="2"/>
    <x v="10"/>
  </r>
  <r>
    <x v="61"/>
    <x v="978"/>
    <x v="3"/>
    <x v="1"/>
    <x v="1"/>
    <x v="2"/>
    <x v="1"/>
    <x v="1"/>
    <x v="5"/>
    <x v="2"/>
    <x v="10"/>
  </r>
  <r>
    <x v="61"/>
    <x v="979"/>
    <x v="4"/>
    <x v="2"/>
    <x v="2"/>
    <x v="1"/>
    <x v="0"/>
    <x v="29"/>
    <x v="143"/>
    <x v="2"/>
    <x v="10"/>
  </r>
  <r>
    <x v="61"/>
    <x v="980"/>
    <x v="5"/>
    <x v="1"/>
    <x v="1"/>
    <x v="5"/>
    <x v="4"/>
    <x v="57"/>
    <x v="220"/>
    <x v="2"/>
    <x v="10"/>
  </r>
  <r>
    <x v="61"/>
    <x v="981"/>
    <x v="5"/>
    <x v="0"/>
    <x v="0"/>
    <x v="1"/>
    <x v="0"/>
    <x v="33"/>
    <x v="90"/>
    <x v="2"/>
    <x v="10"/>
  </r>
  <r>
    <x v="61"/>
    <x v="982"/>
    <x v="5"/>
    <x v="9"/>
    <x v="9"/>
    <x v="4"/>
    <x v="3"/>
    <x v="17"/>
    <x v="305"/>
    <x v="2"/>
    <x v="10"/>
  </r>
  <r>
    <x v="62"/>
    <x v="983"/>
    <x v="0"/>
    <x v="9"/>
    <x v="9"/>
    <x v="0"/>
    <x v="9"/>
    <x v="17"/>
    <x v="305"/>
    <x v="2"/>
    <x v="10"/>
  </r>
  <r>
    <x v="62"/>
    <x v="984"/>
    <x v="0"/>
    <x v="5"/>
    <x v="5"/>
    <x v="0"/>
    <x v="9"/>
    <x v="1"/>
    <x v="24"/>
    <x v="2"/>
    <x v="10"/>
  </r>
  <r>
    <x v="62"/>
    <x v="985"/>
    <x v="0"/>
    <x v="7"/>
    <x v="7"/>
    <x v="1"/>
    <x v="0"/>
    <x v="27"/>
    <x v="297"/>
    <x v="2"/>
    <x v="10"/>
  </r>
  <r>
    <x v="62"/>
    <x v="986"/>
    <x v="0"/>
    <x v="6"/>
    <x v="6"/>
    <x v="8"/>
    <x v="7"/>
    <x v="23"/>
    <x v="253"/>
    <x v="2"/>
    <x v="10"/>
  </r>
  <r>
    <x v="62"/>
    <x v="987"/>
    <x v="0"/>
    <x v="10"/>
    <x v="10"/>
    <x v="5"/>
    <x v="4"/>
    <x v="15"/>
    <x v="312"/>
    <x v="2"/>
    <x v="10"/>
  </r>
  <r>
    <x v="62"/>
    <x v="988"/>
    <x v="0"/>
    <x v="9"/>
    <x v="9"/>
    <x v="1"/>
    <x v="0"/>
    <x v="12"/>
    <x v="279"/>
    <x v="2"/>
    <x v="10"/>
  </r>
  <r>
    <x v="62"/>
    <x v="989"/>
    <x v="1"/>
    <x v="6"/>
    <x v="6"/>
    <x v="1"/>
    <x v="0"/>
    <x v="3"/>
    <x v="63"/>
    <x v="2"/>
    <x v="10"/>
  </r>
  <r>
    <x v="62"/>
    <x v="990"/>
    <x v="1"/>
    <x v="8"/>
    <x v="8"/>
    <x v="8"/>
    <x v="7"/>
    <x v="2"/>
    <x v="89"/>
    <x v="2"/>
    <x v="10"/>
  </r>
  <r>
    <x v="62"/>
    <x v="991"/>
    <x v="1"/>
    <x v="10"/>
    <x v="10"/>
    <x v="7"/>
    <x v="6"/>
    <x v="12"/>
    <x v="302"/>
    <x v="2"/>
    <x v="10"/>
  </r>
  <r>
    <x v="62"/>
    <x v="992"/>
    <x v="1"/>
    <x v="5"/>
    <x v="5"/>
    <x v="1"/>
    <x v="0"/>
    <x v="11"/>
    <x v="110"/>
    <x v="2"/>
    <x v="10"/>
  </r>
  <r>
    <x v="62"/>
    <x v="993"/>
    <x v="2"/>
    <x v="3"/>
    <x v="3"/>
    <x v="4"/>
    <x v="3"/>
    <x v="29"/>
    <x v="196"/>
    <x v="2"/>
    <x v="10"/>
  </r>
  <r>
    <x v="62"/>
    <x v="994"/>
    <x v="2"/>
    <x v="6"/>
    <x v="6"/>
    <x v="1"/>
    <x v="0"/>
    <x v="0"/>
    <x v="30"/>
    <x v="2"/>
    <x v="10"/>
  </r>
  <r>
    <x v="62"/>
    <x v="995"/>
    <x v="2"/>
    <x v="3"/>
    <x v="3"/>
    <x v="5"/>
    <x v="4"/>
    <x v="38"/>
    <x v="237"/>
    <x v="2"/>
    <x v="10"/>
  </r>
  <r>
    <x v="62"/>
    <x v="996"/>
    <x v="3"/>
    <x v="6"/>
    <x v="6"/>
    <x v="1"/>
    <x v="0"/>
    <x v="2"/>
    <x v="50"/>
    <x v="2"/>
    <x v="10"/>
  </r>
  <r>
    <x v="62"/>
    <x v="997"/>
    <x v="3"/>
    <x v="6"/>
    <x v="6"/>
    <x v="1"/>
    <x v="0"/>
    <x v="10"/>
    <x v="142"/>
    <x v="2"/>
    <x v="10"/>
  </r>
  <r>
    <x v="62"/>
    <x v="998"/>
    <x v="3"/>
    <x v="5"/>
    <x v="5"/>
    <x v="2"/>
    <x v="1"/>
    <x v="11"/>
    <x v="110"/>
    <x v="2"/>
    <x v="10"/>
  </r>
  <r>
    <x v="62"/>
    <x v="999"/>
    <x v="3"/>
    <x v="8"/>
    <x v="8"/>
    <x v="0"/>
    <x v="9"/>
    <x v="11"/>
    <x v="226"/>
    <x v="2"/>
    <x v="10"/>
  </r>
  <r>
    <x v="62"/>
    <x v="1000"/>
    <x v="4"/>
    <x v="7"/>
    <x v="7"/>
    <x v="1"/>
    <x v="0"/>
    <x v="17"/>
    <x v="241"/>
    <x v="2"/>
    <x v="10"/>
  </r>
  <r>
    <x v="62"/>
    <x v="1001"/>
    <x v="5"/>
    <x v="11"/>
    <x v="11"/>
    <x v="7"/>
    <x v="6"/>
    <x v="4"/>
    <x v="248"/>
    <x v="2"/>
    <x v="10"/>
  </r>
  <r>
    <x v="62"/>
    <x v="1002"/>
    <x v="5"/>
    <x v="5"/>
    <x v="5"/>
    <x v="1"/>
    <x v="0"/>
    <x v="23"/>
    <x v="202"/>
    <x v="2"/>
    <x v="10"/>
  </r>
  <r>
    <x v="63"/>
    <x v="1003"/>
    <x v="0"/>
    <x v="10"/>
    <x v="10"/>
    <x v="1"/>
    <x v="0"/>
    <x v="17"/>
    <x v="317"/>
    <x v="2"/>
    <x v="10"/>
  </r>
  <r>
    <x v="63"/>
    <x v="1004"/>
    <x v="0"/>
    <x v="11"/>
    <x v="11"/>
    <x v="1"/>
    <x v="0"/>
    <x v="1"/>
    <x v="174"/>
    <x v="2"/>
    <x v="10"/>
  </r>
  <r>
    <x v="63"/>
    <x v="1005"/>
    <x v="0"/>
    <x v="2"/>
    <x v="2"/>
    <x v="1"/>
    <x v="0"/>
    <x v="27"/>
    <x v="133"/>
    <x v="2"/>
    <x v="10"/>
  </r>
  <r>
    <x v="63"/>
    <x v="1006"/>
    <x v="0"/>
    <x v="11"/>
    <x v="11"/>
    <x v="1"/>
    <x v="0"/>
    <x v="4"/>
    <x v="248"/>
    <x v="2"/>
    <x v="10"/>
  </r>
  <r>
    <x v="63"/>
    <x v="1007"/>
    <x v="1"/>
    <x v="3"/>
    <x v="3"/>
    <x v="4"/>
    <x v="3"/>
    <x v="5"/>
    <x v="41"/>
    <x v="2"/>
    <x v="10"/>
  </r>
  <r>
    <x v="63"/>
    <x v="1008"/>
    <x v="2"/>
    <x v="9"/>
    <x v="9"/>
    <x v="1"/>
    <x v="0"/>
    <x v="2"/>
    <x v="124"/>
    <x v="2"/>
    <x v="10"/>
  </r>
  <r>
    <x v="63"/>
    <x v="1009"/>
    <x v="2"/>
    <x v="3"/>
    <x v="3"/>
    <x v="1"/>
    <x v="0"/>
    <x v="34"/>
    <x v="220"/>
    <x v="2"/>
    <x v="10"/>
  </r>
  <r>
    <x v="63"/>
    <x v="1010"/>
    <x v="2"/>
    <x v="10"/>
    <x v="10"/>
    <x v="1"/>
    <x v="0"/>
    <x v="11"/>
    <x v="296"/>
    <x v="2"/>
    <x v="10"/>
  </r>
  <r>
    <x v="63"/>
    <x v="1011"/>
    <x v="2"/>
    <x v="10"/>
    <x v="10"/>
    <x v="1"/>
    <x v="0"/>
    <x v="11"/>
    <x v="296"/>
    <x v="2"/>
    <x v="10"/>
  </r>
  <r>
    <x v="63"/>
    <x v="1012"/>
    <x v="2"/>
    <x v="0"/>
    <x v="0"/>
    <x v="4"/>
    <x v="3"/>
    <x v="11"/>
    <x v="23"/>
    <x v="2"/>
    <x v="10"/>
  </r>
  <r>
    <x v="63"/>
    <x v="1013"/>
    <x v="3"/>
    <x v="7"/>
    <x v="7"/>
    <x v="1"/>
    <x v="0"/>
    <x v="15"/>
    <x v="223"/>
    <x v="2"/>
    <x v="10"/>
  </r>
  <r>
    <x v="63"/>
    <x v="1014"/>
    <x v="3"/>
    <x v="4"/>
    <x v="4"/>
    <x v="1"/>
    <x v="0"/>
    <x v="38"/>
    <x v="259"/>
    <x v="2"/>
    <x v="10"/>
  </r>
  <r>
    <x v="63"/>
    <x v="1015"/>
    <x v="3"/>
    <x v="10"/>
    <x v="10"/>
    <x v="3"/>
    <x v="2"/>
    <x v="10"/>
    <x v="289"/>
    <x v="2"/>
    <x v="10"/>
  </r>
  <r>
    <x v="63"/>
    <x v="1016"/>
    <x v="4"/>
    <x v="10"/>
    <x v="10"/>
    <x v="5"/>
    <x v="4"/>
    <x v="0"/>
    <x v="105"/>
    <x v="2"/>
    <x v="10"/>
  </r>
  <r>
    <x v="63"/>
    <x v="1017"/>
    <x v="5"/>
    <x v="10"/>
    <x v="10"/>
    <x v="9"/>
    <x v="8"/>
    <x v="12"/>
    <x v="302"/>
    <x v="2"/>
    <x v="10"/>
  </r>
  <r>
    <x v="64"/>
    <x v="1018"/>
    <x v="0"/>
    <x v="6"/>
    <x v="6"/>
    <x v="1"/>
    <x v="0"/>
    <x v="14"/>
    <x v="182"/>
    <x v="2"/>
    <x v="10"/>
  </r>
  <r>
    <x v="64"/>
    <x v="1019"/>
    <x v="0"/>
    <x v="4"/>
    <x v="4"/>
    <x v="2"/>
    <x v="1"/>
    <x v="29"/>
    <x v="214"/>
    <x v="2"/>
    <x v="10"/>
  </r>
  <r>
    <x v="64"/>
    <x v="1020"/>
    <x v="0"/>
    <x v="5"/>
    <x v="5"/>
    <x v="1"/>
    <x v="0"/>
    <x v="10"/>
    <x v="97"/>
    <x v="2"/>
    <x v="10"/>
  </r>
  <r>
    <x v="64"/>
    <x v="1021"/>
    <x v="0"/>
    <x v="8"/>
    <x v="8"/>
    <x v="4"/>
    <x v="3"/>
    <x v="12"/>
    <x v="236"/>
    <x v="2"/>
    <x v="10"/>
  </r>
  <r>
    <x v="64"/>
    <x v="1022"/>
    <x v="1"/>
    <x v="8"/>
    <x v="8"/>
    <x v="1"/>
    <x v="0"/>
    <x v="2"/>
    <x v="89"/>
    <x v="2"/>
    <x v="10"/>
  </r>
  <r>
    <x v="64"/>
    <x v="1023"/>
    <x v="1"/>
    <x v="5"/>
    <x v="5"/>
    <x v="1"/>
    <x v="0"/>
    <x v="30"/>
    <x v="244"/>
    <x v="2"/>
    <x v="10"/>
  </r>
  <r>
    <x v="64"/>
    <x v="1024"/>
    <x v="1"/>
    <x v="3"/>
    <x v="3"/>
    <x v="1"/>
    <x v="0"/>
    <x v="1"/>
    <x v="14"/>
    <x v="2"/>
    <x v="10"/>
  </r>
  <r>
    <x v="64"/>
    <x v="1025"/>
    <x v="2"/>
    <x v="9"/>
    <x v="9"/>
    <x v="1"/>
    <x v="0"/>
    <x v="6"/>
    <x v="201"/>
    <x v="2"/>
    <x v="10"/>
  </r>
  <r>
    <x v="64"/>
    <x v="1026"/>
    <x v="2"/>
    <x v="11"/>
    <x v="11"/>
    <x v="5"/>
    <x v="4"/>
    <x v="7"/>
    <x v="291"/>
    <x v="2"/>
    <x v="10"/>
  </r>
  <r>
    <x v="64"/>
    <x v="1027"/>
    <x v="3"/>
    <x v="11"/>
    <x v="11"/>
    <x v="2"/>
    <x v="1"/>
    <x v="8"/>
    <x v="299"/>
    <x v="2"/>
    <x v="10"/>
  </r>
  <r>
    <x v="64"/>
    <x v="1028"/>
    <x v="3"/>
    <x v="10"/>
    <x v="10"/>
    <x v="2"/>
    <x v="1"/>
    <x v="12"/>
    <x v="302"/>
    <x v="2"/>
    <x v="10"/>
  </r>
  <r>
    <x v="64"/>
    <x v="1029"/>
    <x v="3"/>
    <x v="9"/>
    <x v="9"/>
    <x v="9"/>
    <x v="8"/>
    <x v="3"/>
    <x v="145"/>
    <x v="2"/>
    <x v="10"/>
  </r>
  <r>
    <x v="64"/>
    <x v="1030"/>
    <x v="3"/>
    <x v="7"/>
    <x v="7"/>
    <x v="9"/>
    <x v="8"/>
    <x v="17"/>
    <x v="241"/>
    <x v="2"/>
    <x v="10"/>
  </r>
  <r>
    <x v="64"/>
    <x v="1031"/>
    <x v="4"/>
    <x v="11"/>
    <x v="11"/>
    <x v="1"/>
    <x v="0"/>
    <x v="7"/>
    <x v="291"/>
    <x v="2"/>
    <x v="10"/>
  </r>
  <r>
    <x v="64"/>
    <x v="1032"/>
    <x v="5"/>
    <x v="4"/>
    <x v="4"/>
    <x v="1"/>
    <x v="0"/>
    <x v="41"/>
    <x v="269"/>
    <x v="2"/>
    <x v="10"/>
  </r>
  <r>
    <x v="65"/>
    <x v="1033"/>
    <x v="0"/>
    <x v="11"/>
    <x v="11"/>
    <x v="1"/>
    <x v="0"/>
    <x v="10"/>
    <x v="310"/>
    <x v="2"/>
    <x v="10"/>
  </r>
  <r>
    <x v="65"/>
    <x v="1034"/>
    <x v="0"/>
    <x v="5"/>
    <x v="5"/>
    <x v="1"/>
    <x v="0"/>
    <x v="22"/>
    <x v="195"/>
    <x v="2"/>
    <x v="10"/>
  </r>
  <r>
    <x v="65"/>
    <x v="1035"/>
    <x v="1"/>
    <x v="0"/>
    <x v="0"/>
    <x v="5"/>
    <x v="4"/>
    <x v="57"/>
    <x v="168"/>
    <x v="2"/>
    <x v="10"/>
  </r>
  <r>
    <x v="65"/>
    <x v="1036"/>
    <x v="1"/>
    <x v="7"/>
    <x v="7"/>
    <x v="1"/>
    <x v="0"/>
    <x v="19"/>
    <x v="257"/>
    <x v="2"/>
    <x v="10"/>
  </r>
  <r>
    <x v="65"/>
    <x v="1037"/>
    <x v="1"/>
    <x v="1"/>
    <x v="1"/>
    <x v="7"/>
    <x v="6"/>
    <x v="31"/>
    <x v="126"/>
    <x v="2"/>
    <x v="10"/>
  </r>
  <r>
    <x v="65"/>
    <x v="1038"/>
    <x v="1"/>
    <x v="4"/>
    <x v="4"/>
    <x v="8"/>
    <x v="7"/>
    <x v="29"/>
    <x v="214"/>
    <x v="2"/>
    <x v="10"/>
  </r>
  <r>
    <x v="65"/>
    <x v="1039"/>
    <x v="1"/>
    <x v="5"/>
    <x v="5"/>
    <x v="8"/>
    <x v="7"/>
    <x v="13"/>
    <x v="126"/>
    <x v="2"/>
    <x v="10"/>
  </r>
  <r>
    <x v="65"/>
    <x v="1040"/>
    <x v="2"/>
    <x v="10"/>
    <x v="10"/>
    <x v="6"/>
    <x v="5"/>
    <x v="2"/>
    <x v="157"/>
    <x v="2"/>
    <x v="10"/>
  </r>
  <r>
    <x v="65"/>
    <x v="1041"/>
    <x v="2"/>
    <x v="10"/>
    <x v="10"/>
    <x v="1"/>
    <x v="0"/>
    <x v="11"/>
    <x v="296"/>
    <x v="2"/>
    <x v="10"/>
  </r>
  <r>
    <x v="65"/>
    <x v="1042"/>
    <x v="2"/>
    <x v="8"/>
    <x v="8"/>
    <x v="6"/>
    <x v="5"/>
    <x v="23"/>
    <x v="306"/>
    <x v="2"/>
    <x v="10"/>
  </r>
  <r>
    <x v="65"/>
    <x v="1043"/>
    <x v="3"/>
    <x v="1"/>
    <x v="1"/>
    <x v="1"/>
    <x v="0"/>
    <x v="31"/>
    <x v="126"/>
    <x v="2"/>
    <x v="10"/>
  </r>
  <r>
    <x v="65"/>
    <x v="1044"/>
    <x v="4"/>
    <x v="8"/>
    <x v="8"/>
    <x v="1"/>
    <x v="0"/>
    <x v="12"/>
    <x v="236"/>
    <x v="2"/>
    <x v="10"/>
  </r>
  <r>
    <x v="65"/>
    <x v="1045"/>
    <x v="4"/>
    <x v="7"/>
    <x v="7"/>
    <x v="3"/>
    <x v="2"/>
    <x v="23"/>
    <x v="283"/>
    <x v="2"/>
    <x v="10"/>
  </r>
  <r>
    <x v="65"/>
    <x v="1046"/>
    <x v="4"/>
    <x v="11"/>
    <x v="11"/>
    <x v="1"/>
    <x v="0"/>
    <x v="4"/>
    <x v="248"/>
    <x v="2"/>
    <x v="10"/>
  </r>
  <r>
    <x v="65"/>
    <x v="1047"/>
    <x v="5"/>
    <x v="7"/>
    <x v="7"/>
    <x v="1"/>
    <x v="0"/>
    <x v="18"/>
    <x v="249"/>
    <x v="2"/>
    <x v="10"/>
  </r>
  <r>
    <x v="65"/>
    <x v="1048"/>
    <x v="5"/>
    <x v="3"/>
    <x v="3"/>
    <x v="1"/>
    <x v="0"/>
    <x v="33"/>
    <x v="215"/>
    <x v="2"/>
    <x v="10"/>
  </r>
  <r>
    <x v="65"/>
    <x v="1049"/>
    <x v="5"/>
    <x v="5"/>
    <x v="5"/>
    <x v="1"/>
    <x v="0"/>
    <x v="29"/>
    <x v="236"/>
    <x v="2"/>
    <x v="10"/>
  </r>
  <r>
    <x v="66"/>
    <x v="1050"/>
    <x v="0"/>
    <x v="8"/>
    <x v="8"/>
    <x v="3"/>
    <x v="2"/>
    <x v="4"/>
    <x v="126"/>
    <x v="2"/>
    <x v="11"/>
  </r>
  <r>
    <x v="66"/>
    <x v="1051"/>
    <x v="0"/>
    <x v="0"/>
    <x v="0"/>
    <x v="7"/>
    <x v="6"/>
    <x v="40"/>
    <x v="115"/>
    <x v="2"/>
    <x v="11"/>
  </r>
  <r>
    <x v="66"/>
    <x v="1052"/>
    <x v="0"/>
    <x v="2"/>
    <x v="2"/>
    <x v="7"/>
    <x v="6"/>
    <x v="44"/>
    <x v="206"/>
    <x v="2"/>
    <x v="11"/>
  </r>
  <r>
    <x v="66"/>
    <x v="1053"/>
    <x v="1"/>
    <x v="4"/>
    <x v="4"/>
    <x v="1"/>
    <x v="0"/>
    <x v="28"/>
    <x v="208"/>
    <x v="2"/>
    <x v="11"/>
  </r>
  <r>
    <x v="66"/>
    <x v="1054"/>
    <x v="1"/>
    <x v="11"/>
    <x v="11"/>
    <x v="1"/>
    <x v="0"/>
    <x v="8"/>
    <x v="299"/>
    <x v="2"/>
    <x v="11"/>
  </r>
  <r>
    <x v="66"/>
    <x v="1055"/>
    <x v="1"/>
    <x v="9"/>
    <x v="9"/>
    <x v="1"/>
    <x v="0"/>
    <x v="12"/>
    <x v="279"/>
    <x v="2"/>
    <x v="11"/>
  </r>
  <r>
    <x v="66"/>
    <x v="1056"/>
    <x v="1"/>
    <x v="8"/>
    <x v="8"/>
    <x v="2"/>
    <x v="1"/>
    <x v="27"/>
    <x v="313"/>
    <x v="2"/>
    <x v="11"/>
  </r>
  <r>
    <x v="66"/>
    <x v="1057"/>
    <x v="2"/>
    <x v="3"/>
    <x v="3"/>
    <x v="3"/>
    <x v="2"/>
    <x v="30"/>
    <x v="200"/>
    <x v="2"/>
    <x v="11"/>
  </r>
  <r>
    <x v="66"/>
    <x v="1058"/>
    <x v="2"/>
    <x v="7"/>
    <x v="7"/>
    <x v="1"/>
    <x v="0"/>
    <x v="25"/>
    <x v="290"/>
    <x v="2"/>
    <x v="11"/>
  </r>
  <r>
    <x v="66"/>
    <x v="1059"/>
    <x v="2"/>
    <x v="7"/>
    <x v="7"/>
    <x v="1"/>
    <x v="0"/>
    <x v="22"/>
    <x v="276"/>
    <x v="2"/>
    <x v="11"/>
  </r>
  <r>
    <x v="66"/>
    <x v="1060"/>
    <x v="2"/>
    <x v="8"/>
    <x v="8"/>
    <x v="1"/>
    <x v="0"/>
    <x v="0"/>
    <x v="56"/>
    <x v="2"/>
    <x v="11"/>
  </r>
  <r>
    <x v="66"/>
    <x v="1061"/>
    <x v="3"/>
    <x v="9"/>
    <x v="9"/>
    <x v="1"/>
    <x v="0"/>
    <x v="9"/>
    <x v="246"/>
    <x v="2"/>
    <x v="11"/>
  </r>
  <r>
    <x v="66"/>
    <x v="1062"/>
    <x v="4"/>
    <x v="10"/>
    <x v="10"/>
    <x v="1"/>
    <x v="0"/>
    <x v="11"/>
    <x v="296"/>
    <x v="2"/>
    <x v="11"/>
  </r>
  <r>
    <x v="66"/>
    <x v="1063"/>
    <x v="4"/>
    <x v="4"/>
    <x v="4"/>
    <x v="1"/>
    <x v="0"/>
    <x v="13"/>
    <x v="108"/>
    <x v="2"/>
    <x v="11"/>
  </r>
  <r>
    <x v="66"/>
    <x v="1064"/>
    <x v="4"/>
    <x v="6"/>
    <x v="6"/>
    <x v="1"/>
    <x v="0"/>
    <x v="17"/>
    <x v="209"/>
    <x v="2"/>
    <x v="11"/>
  </r>
  <r>
    <x v="66"/>
    <x v="1065"/>
    <x v="4"/>
    <x v="0"/>
    <x v="0"/>
    <x v="7"/>
    <x v="6"/>
    <x v="26"/>
    <x v="69"/>
    <x v="2"/>
    <x v="11"/>
  </r>
  <r>
    <x v="66"/>
    <x v="1066"/>
    <x v="5"/>
    <x v="6"/>
    <x v="6"/>
    <x v="1"/>
    <x v="0"/>
    <x v="1"/>
    <x v="43"/>
    <x v="2"/>
    <x v="11"/>
  </r>
  <r>
    <x v="66"/>
    <x v="1067"/>
    <x v="5"/>
    <x v="10"/>
    <x v="10"/>
    <x v="1"/>
    <x v="0"/>
    <x v="17"/>
    <x v="317"/>
    <x v="2"/>
    <x v="11"/>
  </r>
  <r>
    <x v="67"/>
    <x v="1068"/>
    <x v="0"/>
    <x v="9"/>
    <x v="9"/>
    <x v="1"/>
    <x v="0"/>
    <x v="10"/>
    <x v="260"/>
    <x v="2"/>
    <x v="11"/>
  </r>
  <r>
    <x v="67"/>
    <x v="1069"/>
    <x v="0"/>
    <x v="1"/>
    <x v="1"/>
    <x v="1"/>
    <x v="0"/>
    <x v="20"/>
    <x v="75"/>
    <x v="2"/>
    <x v="11"/>
  </r>
  <r>
    <x v="67"/>
    <x v="1070"/>
    <x v="0"/>
    <x v="1"/>
    <x v="1"/>
    <x v="1"/>
    <x v="0"/>
    <x v="42"/>
    <x v="169"/>
    <x v="2"/>
    <x v="11"/>
  </r>
  <r>
    <x v="67"/>
    <x v="1071"/>
    <x v="0"/>
    <x v="5"/>
    <x v="5"/>
    <x v="1"/>
    <x v="0"/>
    <x v="1"/>
    <x v="24"/>
    <x v="2"/>
    <x v="11"/>
  </r>
  <r>
    <x v="67"/>
    <x v="1072"/>
    <x v="1"/>
    <x v="10"/>
    <x v="10"/>
    <x v="1"/>
    <x v="0"/>
    <x v="10"/>
    <x v="289"/>
    <x v="2"/>
    <x v="11"/>
  </r>
  <r>
    <x v="67"/>
    <x v="1073"/>
    <x v="1"/>
    <x v="8"/>
    <x v="8"/>
    <x v="1"/>
    <x v="0"/>
    <x v="6"/>
    <x v="158"/>
    <x v="2"/>
    <x v="11"/>
  </r>
  <r>
    <x v="67"/>
    <x v="1074"/>
    <x v="1"/>
    <x v="1"/>
    <x v="1"/>
    <x v="6"/>
    <x v="5"/>
    <x v="17"/>
    <x v="64"/>
    <x v="2"/>
    <x v="11"/>
  </r>
  <r>
    <x v="67"/>
    <x v="1075"/>
    <x v="1"/>
    <x v="2"/>
    <x v="2"/>
    <x v="9"/>
    <x v="8"/>
    <x v="49"/>
    <x v="225"/>
    <x v="2"/>
    <x v="11"/>
  </r>
  <r>
    <x v="67"/>
    <x v="1076"/>
    <x v="2"/>
    <x v="1"/>
    <x v="1"/>
    <x v="9"/>
    <x v="8"/>
    <x v="57"/>
    <x v="220"/>
    <x v="2"/>
    <x v="11"/>
  </r>
  <r>
    <x v="67"/>
    <x v="1077"/>
    <x v="2"/>
    <x v="9"/>
    <x v="9"/>
    <x v="3"/>
    <x v="2"/>
    <x v="1"/>
    <x v="100"/>
    <x v="2"/>
    <x v="11"/>
  </r>
  <r>
    <x v="67"/>
    <x v="1078"/>
    <x v="3"/>
    <x v="1"/>
    <x v="1"/>
    <x v="1"/>
    <x v="0"/>
    <x v="39"/>
    <x v="158"/>
    <x v="2"/>
    <x v="11"/>
  </r>
  <r>
    <x v="67"/>
    <x v="1079"/>
    <x v="3"/>
    <x v="0"/>
    <x v="0"/>
    <x v="1"/>
    <x v="0"/>
    <x v="27"/>
    <x v="71"/>
    <x v="2"/>
    <x v="11"/>
  </r>
  <r>
    <x v="67"/>
    <x v="1080"/>
    <x v="4"/>
    <x v="6"/>
    <x v="6"/>
    <x v="1"/>
    <x v="0"/>
    <x v="24"/>
    <x v="262"/>
    <x v="2"/>
    <x v="11"/>
  </r>
  <r>
    <x v="67"/>
    <x v="1081"/>
    <x v="5"/>
    <x v="9"/>
    <x v="9"/>
    <x v="0"/>
    <x v="9"/>
    <x v="12"/>
    <x v="279"/>
    <x v="2"/>
    <x v="11"/>
  </r>
  <r>
    <x v="68"/>
    <x v="1082"/>
    <x v="0"/>
    <x v="4"/>
    <x v="4"/>
    <x v="1"/>
    <x v="0"/>
    <x v="37"/>
    <x v="252"/>
    <x v="2"/>
    <x v="11"/>
  </r>
  <r>
    <x v="68"/>
    <x v="1083"/>
    <x v="0"/>
    <x v="1"/>
    <x v="1"/>
    <x v="1"/>
    <x v="0"/>
    <x v="53"/>
    <x v="207"/>
    <x v="2"/>
    <x v="11"/>
  </r>
  <r>
    <x v="68"/>
    <x v="1084"/>
    <x v="0"/>
    <x v="8"/>
    <x v="8"/>
    <x v="8"/>
    <x v="7"/>
    <x v="23"/>
    <x v="306"/>
    <x v="2"/>
    <x v="11"/>
  </r>
  <r>
    <x v="68"/>
    <x v="1085"/>
    <x v="0"/>
    <x v="9"/>
    <x v="9"/>
    <x v="8"/>
    <x v="7"/>
    <x v="4"/>
    <x v="166"/>
    <x v="2"/>
    <x v="11"/>
  </r>
  <r>
    <x v="68"/>
    <x v="1086"/>
    <x v="0"/>
    <x v="7"/>
    <x v="7"/>
    <x v="0"/>
    <x v="9"/>
    <x v="17"/>
    <x v="241"/>
    <x v="2"/>
    <x v="11"/>
  </r>
  <r>
    <x v="68"/>
    <x v="1087"/>
    <x v="0"/>
    <x v="4"/>
    <x v="4"/>
    <x v="1"/>
    <x v="0"/>
    <x v="5"/>
    <x v="47"/>
    <x v="2"/>
    <x v="11"/>
  </r>
  <r>
    <x v="68"/>
    <x v="1088"/>
    <x v="1"/>
    <x v="1"/>
    <x v="1"/>
    <x v="3"/>
    <x v="2"/>
    <x v="10"/>
    <x v="37"/>
    <x v="2"/>
    <x v="11"/>
  </r>
  <r>
    <x v="68"/>
    <x v="1089"/>
    <x v="1"/>
    <x v="7"/>
    <x v="7"/>
    <x v="5"/>
    <x v="4"/>
    <x v="6"/>
    <x v="119"/>
    <x v="2"/>
    <x v="11"/>
  </r>
  <r>
    <x v="68"/>
    <x v="1090"/>
    <x v="1"/>
    <x v="9"/>
    <x v="9"/>
    <x v="3"/>
    <x v="2"/>
    <x v="8"/>
    <x v="230"/>
    <x v="2"/>
    <x v="11"/>
  </r>
  <r>
    <x v="68"/>
    <x v="1091"/>
    <x v="2"/>
    <x v="1"/>
    <x v="1"/>
    <x v="0"/>
    <x v="9"/>
    <x v="11"/>
    <x v="43"/>
    <x v="2"/>
    <x v="11"/>
  </r>
  <r>
    <x v="68"/>
    <x v="1092"/>
    <x v="3"/>
    <x v="6"/>
    <x v="6"/>
    <x v="1"/>
    <x v="0"/>
    <x v="0"/>
    <x v="30"/>
    <x v="2"/>
    <x v="11"/>
  </r>
  <r>
    <x v="68"/>
    <x v="1093"/>
    <x v="3"/>
    <x v="0"/>
    <x v="0"/>
    <x v="4"/>
    <x v="3"/>
    <x v="43"/>
    <x v="125"/>
    <x v="2"/>
    <x v="11"/>
  </r>
  <r>
    <x v="68"/>
    <x v="1094"/>
    <x v="3"/>
    <x v="1"/>
    <x v="1"/>
    <x v="1"/>
    <x v="0"/>
    <x v="50"/>
    <x v="198"/>
    <x v="2"/>
    <x v="11"/>
  </r>
  <r>
    <x v="68"/>
    <x v="1095"/>
    <x v="4"/>
    <x v="8"/>
    <x v="8"/>
    <x v="4"/>
    <x v="3"/>
    <x v="7"/>
    <x v="174"/>
    <x v="2"/>
    <x v="11"/>
  </r>
  <r>
    <x v="68"/>
    <x v="1096"/>
    <x v="4"/>
    <x v="9"/>
    <x v="9"/>
    <x v="1"/>
    <x v="0"/>
    <x v="2"/>
    <x v="124"/>
    <x v="2"/>
    <x v="11"/>
  </r>
  <r>
    <x v="68"/>
    <x v="1097"/>
    <x v="5"/>
    <x v="0"/>
    <x v="0"/>
    <x v="1"/>
    <x v="0"/>
    <x v="48"/>
    <x v="140"/>
    <x v="2"/>
    <x v="11"/>
  </r>
  <r>
    <x v="68"/>
    <x v="1098"/>
    <x v="5"/>
    <x v="6"/>
    <x v="6"/>
    <x v="1"/>
    <x v="0"/>
    <x v="12"/>
    <x v="164"/>
    <x v="2"/>
    <x v="11"/>
  </r>
  <r>
    <x v="68"/>
    <x v="1099"/>
    <x v="5"/>
    <x v="4"/>
    <x v="4"/>
    <x v="1"/>
    <x v="0"/>
    <x v="21"/>
    <x v="167"/>
    <x v="2"/>
    <x v="11"/>
  </r>
  <r>
    <x v="69"/>
    <x v="1100"/>
    <x v="0"/>
    <x v="0"/>
    <x v="0"/>
    <x v="1"/>
    <x v="0"/>
    <x v="1"/>
    <x v="1"/>
    <x v="2"/>
    <x v="11"/>
  </r>
  <r>
    <x v="69"/>
    <x v="1101"/>
    <x v="0"/>
    <x v="7"/>
    <x v="7"/>
    <x v="0"/>
    <x v="9"/>
    <x v="10"/>
    <x v="171"/>
    <x v="2"/>
    <x v="11"/>
  </r>
  <r>
    <x v="69"/>
    <x v="1102"/>
    <x v="0"/>
    <x v="4"/>
    <x v="4"/>
    <x v="8"/>
    <x v="7"/>
    <x v="40"/>
    <x v="266"/>
    <x v="2"/>
    <x v="11"/>
  </r>
  <r>
    <x v="69"/>
    <x v="1103"/>
    <x v="1"/>
    <x v="0"/>
    <x v="0"/>
    <x v="4"/>
    <x v="3"/>
    <x v="30"/>
    <x v="81"/>
    <x v="2"/>
    <x v="11"/>
  </r>
  <r>
    <x v="69"/>
    <x v="1104"/>
    <x v="1"/>
    <x v="1"/>
    <x v="1"/>
    <x v="7"/>
    <x v="6"/>
    <x v="4"/>
    <x v="13"/>
    <x v="2"/>
    <x v="11"/>
  </r>
  <r>
    <x v="69"/>
    <x v="1105"/>
    <x v="1"/>
    <x v="5"/>
    <x v="5"/>
    <x v="6"/>
    <x v="5"/>
    <x v="10"/>
    <x v="97"/>
    <x v="2"/>
    <x v="11"/>
  </r>
  <r>
    <x v="69"/>
    <x v="1106"/>
    <x v="2"/>
    <x v="5"/>
    <x v="5"/>
    <x v="1"/>
    <x v="0"/>
    <x v="15"/>
    <x v="142"/>
    <x v="2"/>
    <x v="11"/>
  </r>
  <r>
    <x v="69"/>
    <x v="1107"/>
    <x v="2"/>
    <x v="1"/>
    <x v="1"/>
    <x v="1"/>
    <x v="0"/>
    <x v="45"/>
    <x v="179"/>
    <x v="2"/>
    <x v="11"/>
  </r>
  <r>
    <x v="69"/>
    <x v="1108"/>
    <x v="3"/>
    <x v="7"/>
    <x v="7"/>
    <x v="3"/>
    <x v="2"/>
    <x v="16"/>
    <x v="232"/>
    <x v="2"/>
    <x v="11"/>
  </r>
  <r>
    <x v="69"/>
    <x v="1109"/>
    <x v="3"/>
    <x v="0"/>
    <x v="0"/>
    <x v="6"/>
    <x v="5"/>
    <x v="59"/>
    <x v="172"/>
    <x v="2"/>
    <x v="11"/>
  </r>
  <r>
    <x v="69"/>
    <x v="1110"/>
    <x v="4"/>
    <x v="2"/>
    <x v="2"/>
    <x v="2"/>
    <x v="1"/>
    <x v="7"/>
    <x v="34"/>
    <x v="2"/>
    <x v="11"/>
  </r>
  <r>
    <x v="69"/>
    <x v="1111"/>
    <x v="5"/>
    <x v="1"/>
    <x v="1"/>
    <x v="1"/>
    <x v="0"/>
    <x v="59"/>
    <x v="226"/>
    <x v="2"/>
    <x v="11"/>
  </r>
  <r>
    <x v="69"/>
    <x v="1112"/>
    <x v="5"/>
    <x v="4"/>
    <x v="4"/>
    <x v="1"/>
    <x v="0"/>
    <x v="30"/>
    <x v="219"/>
    <x v="2"/>
    <x v="11"/>
  </r>
  <r>
    <x v="69"/>
    <x v="1113"/>
    <x v="5"/>
    <x v="7"/>
    <x v="7"/>
    <x v="1"/>
    <x v="0"/>
    <x v="1"/>
    <x v="52"/>
    <x v="2"/>
    <x v="11"/>
  </r>
  <r>
    <x v="70"/>
    <x v="1114"/>
    <x v="0"/>
    <x v="9"/>
    <x v="9"/>
    <x v="1"/>
    <x v="0"/>
    <x v="7"/>
    <x v="216"/>
    <x v="2"/>
    <x v="11"/>
  </r>
  <r>
    <x v="70"/>
    <x v="1115"/>
    <x v="0"/>
    <x v="10"/>
    <x v="10"/>
    <x v="1"/>
    <x v="0"/>
    <x v="3"/>
    <x v="180"/>
    <x v="2"/>
    <x v="11"/>
  </r>
  <r>
    <x v="70"/>
    <x v="1116"/>
    <x v="0"/>
    <x v="1"/>
    <x v="1"/>
    <x v="1"/>
    <x v="0"/>
    <x v="17"/>
    <x v="64"/>
    <x v="2"/>
    <x v="11"/>
  </r>
  <r>
    <x v="70"/>
    <x v="1117"/>
    <x v="0"/>
    <x v="10"/>
    <x v="10"/>
    <x v="9"/>
    <x v="8"/>
    <x v="6"/>
    <x v="239"/>
    <x v="2"/>
    <x v="11"/>
  </r>
  <r>
    <x v="70"/>
    <x v="1118"/>
    <x v="1"/>
    <x v="11"/>
    <x v="11"/>
    <x v="1"/>
    <x v="0"/>
    <x v="9"/>
    <x v="306"/>
    <x v="2"/>
    <x v="11"/>
  </r>
  <r>
    <x v="70"/>
    <x v="1119"/>
    <x v="1"/>
    <x v="8"/>
    <x v="8"/>
    <x v="9"/>
    <x v="8"/>
    <x v="17"/>
    <x v="282"/>
    <x v="2"/>
    <x v="11"/>
  </r>
  <r>
    <x v="70"/>
    <x v="1120"/>
    <x v="1"/>
    <x v="3"/>
    <x v="3"/>
    <x v="1"/>
    <x v="0"/>
    <x v="30"/>
    <x v="200"/>
    <x v="2"/>
    <x v="11"/>
  </r>
  <r>
    <x v="70"/>
    <x v="1121"/>
    <x v="1"/>
    <x v="6"/>
    <x v="6"/>
    <x v="6"/>
    <x v="5"/>
    <x v="19"/>
    <x v="226"/>
    <x v="2"/>
    <x v="11"/>
  </r>
  <r>
    <x v="70"/>
    <x v="1122"/>
    <x v="1"/>
    <x v="1"/>
    <x v="1"/>
    <x v="1"/>
    <x v="0"/>
    <x v="55"/>
    <x v="213"/>
    <x v="2"/>
    <x v="11"/>
  </r>
  <r>
    <x v="70"/>
    <x v="1123"/>
    <x v="2"/>
    <x v="1"/>
    <x v="1"/>
    <x v="5"/>
    <x v="4"/>
    <x v="13"/>
    <x v="48"/>
    <x v="2"/>
    <x v="11"/>
  </r>
  <r>
    <x v="70"/>
    <x v="1124"/>
    <x v="2"/>
    <x v="4"/>
    <x v="4"/>
    <x v="1"/>
    <x v="0"/>
    <x v="21"/>
    <x v="167"/>
    <x v="2"/>
    <x v="11"/>
  </r>
  <r>
    <x v="70"/>
    <x v="1125"/>
    <x v="3"/>
    <x v="4"/>
    <x v="4"/>
    <x v="2"/>
    <x v="1"/>
    <x v="16"/>
    <x v="129"/>
    <x v="2"/>
    <x v="11"/>
  </r>
  <r>
    <x v="70"/>
    <x v="1126"/>
    <x v="3"/>
    <x v="6"/>
    <x v="6"/>
    <x v="1"/>
    <x v="0"/>
    <x v="29"/>
    <x v="285"/>
    <x v="2"/>
    <x v="11"/>
  </r>
  <r>
    <x v="70"/>
    <x v="1127"/>
    <x v="3"/>
    <x v="4"/>
    <x v="4"/>
    <x v="2"/>
    <x v="1"/>
    <x v="6"/>
    <x v="55"/>
    <x v="2"/>
    <x v="11"/>
  </r>
  <r>
    <x v="70"/>
    <x v="1128"/>
    <x v="4"/>
    <x v="11"/>
    <x v="11"/>
    <x v="1"/>
    <x v="0"/>
    <x v="4"/>
    <x v="248"/>
    <x v="2"/>
    <x v="11"/>
  </r>
  <r>
    <x v="70"/>
    <x v="1129"/>
    <x v="4"/>
    <x v="10"/>
    <x v="10"/>
    <x v="1"/>
    <x v="0"/>
    <x v="9"/>
    <x v="281"/>
    <x v="2"/>
    <x v="11"/>
  </r>
  <r>
    <x v="70"/>
    <x v="1130"/>
    <x v="4"/>
    <x v="5"/>
    <x v="5"/>
    <x v="4"/>
    <x v="3"/>
    <x v="20"/>
    <x v="179"/>
    <x v="2"/>
    <x v="11"/>
  </r>
  <r>
    <x v="70"/>
    <x v="1131"/>
    <x v="4"/>
    <x v="6"/>
    <x v="6"/>
    <x v="6"/>
    <x v="5"/>
    <x v="6"/>
    <x v="95"/>
    <x v="2"/>
    <x v="11"/>
  </r>
  <r>
    <x v="70"/>
    <x v="1132"/>
    <x v="5"/>
    <x v="2"/>
    <x v="2"/>
    <x v="1"/>
    <x v="0"/>
    <x v="24"/>
    <x v="118"/>
    <x v="2"/>
    <x v="11"/>
  </r>
  <r>
    <x v="71"/>
    <x v="1133"/>
    <x v="0"/>
    <x v="8"/>
    <x v="8"/>
    <x v="9"/>
    <x v="8"/>
    <x v="11"/>
    <x v="226"/>
    <x v="2"/>
    <x v="11"/>
  </r>
  <r>
    <x v="71"/>
    <x v="1134"/>
    <x v="0"/>
    <x v="5"/>
    <x v="5"/>
    <x v="4"/>
    <x v="3"/>
    <x v="32"/>
    <x v="251"/>
    <x v="2"/>
    <x v="11"/>
  </r>
  <r>
    <x v="71"/>
    <x v="1135"/>
    <x v="0"/>
    <x v="10"/>
    <x v="10"/>
    <x v="8"/>
    <x v="7"/>
    <x v="5"/>
    <x v="222"/>
    <x v="2"/>
    <x v="11"/>
  </r>
  <r>
    <x v="71"/>
    <x v="1136"/>
    <x v="0"/>
    <x v="7"/>
    <x v="7"/>
    <x v="8"/>
    <x v="7"/>
    <x v="8"/>
    <x v="147"/>
    <x v="2"/>
    <x v="11"/>
  </r>
  <r>
    <x v="71"/>
    <x v="1137"/>
    <x v="1"/>
    <x v="10"/>
    <x v="10"/>
    <x v="3"/>
    <x v="2"/>
    <x v="8"/>
    <x v="270"/>
    <x v="2"/>
    <x v="11"/>
  </r>
  <r>
    <x v="71"/>
    <x v="1138"/>
    <x v="1"/>
    <x v="1"/>
    <x v="1"/>
    <x v="3"/>
    <x v="2"/>
    <x v="18"/>
    <x v="68"/>
    <x v="2"/>
    <x v="11"/>
  </r>
  <r>
    <x v="71"/>
    <x v="1139"/>
    <x v="1"/>
    <x v="0"/>
    <x v="0"/>
    <x v="6"/>
    <x v="5"/>
    <x v="26"/>
    <x v="69"/>
    <x v="2"/>
    <x v="11"/>
  </r>
  <r>
    <x v="71"/>
    <x v="1140"/>
    <x v="1"/>
    <x v="8"/>
    <x v="8"/>
    <x v="1"/>
    <x v="0"/>
    <x v="27"/>
    <x v="313"/>
    <x v="2"/>
    <x v="11"/>
  </r>
  <r>
    <x v="71"/>
    <x v="1141"/>
    <x v="1"/>
    <x v="3"/>
    <x v="3"/>
    <x v="1"/>
    <x v="0"/>
    <x v="43"/>
    <x v="261"/>
    <x v="2"/>
    <x v="11"/>
  </r>
  <r>
    <x v="71"/>
    <x v="1142"/>
    <x v="2"/>
    <x v="7"/>
    <x v="7"/>
    <x v="1"/>
    <x v="0"/>
    <x v="24"/>
    <x v="287"/>
    <x v="2"/>
    <x v="11"/>
  </r>
  <r>
    <x v="71"/>
    <x v="1143"/>
    <x v="2"/>
    <x v="5"/>
    <x v="5"/>
    <x v="1"/>
    <x v="0"/>
    <x v="3"/>
    <x v="43"/>
    <x v="2"/>
    <x v="11"/>
  </r>
  <r>
    <x v="71"/>
    <x v="1144"/>
    <x v="2"/>
    <x v="9"/>
    <x v="9"/>
    <x v="1"/>
    <x v="0"/>
    <x v="3"/>
    <x v="145"/>
    <x v="2"/>
    <x v="11"/>
  </r>
  <r>
    <x v="71"/>
    <x v="1145"/>
    <x v="2"/>
    <x v="7"/>
    <x v="7"/>
    <x v="6"/>
    <x v="5"/>
    <x v="2"/>
    <x v="65"/>
    <x v="2"/>
    <x v="11"/>
  </r>
  <r>
    <x v="71"/>
    <x v="1146"/>
    <x v="3"/>
    <x v="5"/>
    <x v="5"/>
    <x v="1"/>
    <x v="0"/>
    <x v="31"/>
    <x v="248"/>
    <x v="2"/>
    <x v="11"/>
  </r>
  <r>
    <x v="71"/>
    <x v="1147"/>
    <x v="3"/>
    <x v="11"/>
    <x v="11"/>
    <x v="3"/>
    <x v="2"/>
    <x v="9"/>
    <x v="306"/>
    <x v="2"/>
    <x v="11"/>
  </r>
  <r>
    <x v="71"/>
    <x v="1148"/>
    <x v="3"/>
    <x v="4"/>
    <x v="4"/>
    <x v="3"/>
    <x v="2"/>
    <x v="44"/>
    <x v="280"/>
    <x v="2"/>
    <x v="11"/>
  </r>
  <r>
    <x v="71"/>
    <x v="1149"/>
    <x v="3"/>
    <x v="9"/>
    <x v="9"/>
    <x v="6"/>
    <x v="5"/>
    <x v="11"/>
    <x v="268"/>
    <x v="2"/>
    <x v="11"/>
  </r>
  <r>
    <x v="71"/>
    <x v="1150"/>
    <x v="4"/>
    <x v="7"/>
    <x v="7"/>
    <x v="4"/>
    <x v="3"/>
    <x v="7"/>
    <x v="134"/>
    <x v="2"/>
    <x v="11"/>
  </r>
  <r>
    <x v="71"/>
    <x v="1151"/>
    <x v="4"/>
    <x v="5"/>
    <x v="5"/>
    <x v="1"/>
    <x v="0"/>
    <x v="21"/>
    <x v="189"/>
    <x v="2"/>
    <x v="11"/>
  </r>
  <r>
    <x v="71"/>
    <x v="1152"/>
    <x v="5"/>
    <x v="8"/>
    <x v="8"/>
    <x v="6"/>
    <x v="5"/>
    <x v="14"/>
    <x v="258"/>
    <x v="2"/>
    <x v="11"/>
  </r>
  <r>
    <x v="71"/>
    <x v="1153"/>
    <x v="5"/>
    <x v="8"/>
    <x v="8"/>
    <x v="1"/>
    <x v="0"/>
    <x v="6"/>
    <x v="158"/>
    <x v="2"/>
    <x v="11"/>
  </r>
  <r>
    <x v="71"/>
    <x v="1154"/>
    <x v="5"/>
    <x v="9"/>
    <x v="9"/>
    <x v="6"/>
    <x v="5"/>
    <x v="13"/>
    <x v="286"/>
    <x v="2"/>
    <x v="11"/>
  </r>
  <r>
    <x v="72"/>
    <x v="1155"/>
    <x v="0"/>
    <x v="9"/>
    <x v="9"/>
    <x v="9"/>
    <x v="8"/>
    <x v="9"/>
    <x v="246"/>
    <x v="2"/>
    <x v="12"/>
  </r>
  <r>
    <x v="72"/>
    <x v="1156"/>
    <x v="1"/>
    <x v="3"/>
    <x v="3"/>
    <x v="1"/>
    <x v="0"/>
    <x v="33"/>
    <x v="215"/>
    <x v="2"/>
    <x v="12"/>
  </r>
  <r>
    <x v="72"/>
    <x v="1157"/>
    <x v="2"/>
    <x v="11"/>
    <x v="11"/>
    <x v="0"/>
    <x v="9"/>
    <x v="11"/>
    <x v="313"/>
    <x v="2"/>
    <x v="12"/>
  </r>
  <r>
    <x v="72"/>
    <x v="1158"/>
    <x v="2"/>
    <x v="2"/>
    <x v="2"/>
    <x v="8"/>
    <x v="7"/>
    <x v="47"/>
    <x v="218"/>
    <x v="2"/>
    <x v="12"/>
  </r>
  <r>
    <x v="72"/>
    <x v="1159"/>
    <x v="2"/>
    <x v="1"/>
    <x v="1"/>
    <x v="1"/>
    <x v="0"/>
    <x v="51"/>
    <x v="202"/>
    <x v="2"/>
    <x v="12"/>
  </r>
  <r>
    <x v="72"/>
    <x v="1160"/>
    <x v="2"/>
    <x v="8"/>
    <x v="8"/>
    <x v="1"/>
    <x v="0"/>
    <x v="1"/>
    <x v="73"/>
    <x v="2"/>
    <x v="12"/>
  </r>
  <r>
    <x v="72"/>
    <x v="1161"/>
    <x v="3"/>
    <x v="3"/>
    <x v="3"/>
    <x v="6"/>
    <x v="5"/>
    <x v="10"/>
    <x v="72"/>
    <x v="2"/>
    <x v="12"/>
  </r>
  <r>
    <x v="72"/>
    <x v="1162"/>
    <x v="3"/>
    <x v="4"/>
    <x v="4"/>
    <x v="8"/>
    <x v="7"/>
    <x v="12"/>
    <x v="98"/>
    <x v="2"/>
    <x v="12"/>
  </r>
  <r>
    <x v="72"/>
    <x v="1163"/>
    <x v="4"/>
    <x v="8"/>
    <x v="8"/>
    <x v="1"/>
    <x v="0"/>
    <x v="23"/>
    <x v="306"/>
    <x v="2"/>
    <x v="12"/>
  </r>
  <r>
    <x v="72"/>
    <x v="1164"/>
    <x v="5"/>
    <x v="8"/>
    <x v="8"/>
    <x v="1"/>
    <x v="0"/>
    <x v="15"/>
    <x v="267"/>
    <x v="2"/>
    <x v="12"/>
  </r>
  <r>
    <x v="72"/>
    <x v="1165"/>
    <x v="5"/>
    <x v="9"/>
    <x v="9"/>
    <x v="1"/>
    <x v="0"/>
    <x v="5"/>
    <x v="184"/>
    <x v="2"/>
    <x v="12"/>
  </r>
  <r>
    <x v="72"/>
    <x v="1166"/>
    <x v="5"/>
    <x v="0"/>
    <x v="0"/>
    <x v="1"/>
    <x v="0"/>
    <x v="17"/>
    <x v="44"/>
    <x v="2"/>
    <x v="12"/>
  </r>
  <r>
    <x v="73"/>
    <x v="1167"/>
    <x v="0"/>
    <x v="4"/>
    <x v="4"/>
    <x v="0"/>
    <x v="9"/>
    <x v="23"/>
    <x v="178"/>
    <x v="2"/>
    <x v="12"/>
  </r>
  <r>
    <x v="73"/>
    <x v="1168"/>
    <x v="0"/>
    <x v="8"/>
    <x v="8"/>
    <x v="1"/>
    <x v="0"/>
    <x v="6"/>
    <x v="158"/>
    <x v="2"/>
    <x v="12"/>
  </r>
  <r>
    <x v="73"/>
    <x v="1169"/>
    <x v="0"/>
    <x v="0"/>
    <x v="0"/>
    <x v="1"/>
    <x v="0"/>
    <x v="21"/>
    <x v="54"/>
    <x v="2"/>
    <x v="12"/>
  </r>
  <r>
    <x v="73"/>
    <x v="1170"/>
    <x v="0"/>
    <x v="5"/>
    <x v="5"/>
    <x v="1"/>
    <x v="0"/>
    <x v="39"/>
    <x v="282"/>
    <x v="2"/>
    <x v="12"/>
  </r>
  <r>
    <x v="73"/>
    <x v="1171"/>
    <x v="1"/>
    <x v="9"/>
    <x v="9"/>
    <x v="1"/>
    <x v="0"/>
    <x v="0"/>
    <x v="77"/>
    <x v="2"/>
    <x v="12"/>
  </r>
  <r>
    <x v="73"/>
    <x v="1172"/>
    <x v="1"/>
    <x v="2"/>
    <x v="2"/>
    <x v="1"/>
    <x v="0"/>
    <x v="2"/>
    <x v="10"/>
    <x v="2"/>
    <x v="12"/>
  </r>
  <r>
    <x v="73"/>
    <x v="1173"/>
    <x v="2"/>
    <x v="9"/>
    <x v="9"/>
    <x v="5"/>
    <x v="4"/>
    <x v="3"/>
    <x v="145"/>
    <x v="2"/>
    <x v="12"/>
  </r>
  <r>
    <x v="73"/>
    <x v="1174"/>
    <x v="2"/>
    <x v="10"/>
    <x v="10"/>
    <x v="1"/>
    <x v="0"/>
    <x v="17"/>
    <x v="317"/>
    <x v="2"/>
    <x v="12"/>
  </r>
  <r>
    <x v="73"/>
    <x v="1175"/>
    <x v="2"/>
    <x v="8"/>
    <x v="8"/>
    <x v="1"/>
    <x v="0"/>
    <x v="15"/>
    <x v="267"/>
    <x v="2"/>
    <x v="12"/>
  </r>
  <r>
    <x v="73"/>
    <x v="1176"/>
    <x v="2"/>
    <x v="7"/>
    <x v="7"/>
    <x v="1"/>
    <x v="0"/>
    <x v="23"/>
    <x v="283"/>
    <x v="2"/>
    <x v="12"/>
  </r>
  <r>
    <x v="73"/>
    <x v="1177"/>
    <x v="3"/>
    <x v="9"/>
    <x v="9"/>
    <x v="3"/>
    <x v="2"/>
    <x v="17"/>
    <x v="305"/>
    <x v="2"/>
    <x v="12"/>
  </r>
  <r>
    <x v="73"/>
    <x v="1178"/>
    <x v="3"/>
    <x v="8"/>
    <x v="8"/>
    <x v="1"/>
    <x v="0"/>
    <x v="12"/>
    <x v="236"/>
    <x v="2"/>
    <x v="12"/>
  </r>
  <r>
    <x v="73"/>
    <x v="1179"/>
    <x v="3"/>
    <x v="4"/>
    <x v="4"/>
    <x v="1"/>
    <x v="0"/>
    <x v="9"/>
    <x v="74"/>
    <x v="2"/>
    <x v="12"/>
  </r>
  <r>
    <x v="73"/>
    <x v="1180"/>
    <x v="4"/>
    <x v="5"/>
    <x v="5"/>
    <x v="1"/>
    <x v="0"/>
    <x v="8"/>
    <x v="80"/>
    <x v="2"/>
    <x v="12"/>
  </r>
  <r>
    <x v="73"/>
    <x v="1181"/>
    <x v="4"/>
    <x v="11"/>
    <x v="11"/>
    <x v="1"/>
    <x v="0"/>
    <x v="8"/>
    <x v="299"/>
    <x v="2"/>
    <x v="12"/>
  </r>
  <r>
    <x v="73"/>
    <x v="1182"/>
    <x v="4"/>
    <x v="0"/>
    <x v="0"/>
    <x v="8"/>
    <x v="7"/>
    <x v="26"/>
    <x v="69"/>
    <x v="2"/>
    <x v="12"/>
  </r>
  <r>
    <x v="73"/>
    <x v="1183"/>
    <x v="4"/>
    <x v="6"/>
    <x v="6"/>
    <x v="1"/>
    <x v="0"/>
    <x v="6"/>
    <x v="95"/>
    <x v="2"/>
    <x v="12"/>
  </r>
  <r>
    <x v="73"/>
    <x v="1184"/>
    <x v="5"/>
    <x v="11"/>
    <x v="11"/>
    <x v="9"/>
    <x v="8"/>
    <x v="5"/>
    <x v="267"/>
    <x v="2"/>
    <x v="12"/>
  </r>
  <r>
    <x v="73"/>
    <x v="1185"/>
    <x v="5"/>
    <x v="6"/>
    <x v="6"/>
    <x v="1"/>
    <x v="0"/>
    <x v="21"/>
    <x v="240"/>
    <x v="2"/>
    <x v="12"/>
  </r>
  <r>
    <x v="74"/>
    <x v="1186"/>
    <x v="0"/>
    <x v="9"/>
    <x v="9"/>
    <x v="1"/>
    <x v="0"/>
    <x v="7"/>
    <x v="216"/>
    <x v="2"/>
    <x v="12"/>
  </r>
  <r>
    <x v="74"/>
    <x v="1187"/>
    <x v="0"/>
    <x v="6"/>
    <x v="6"/>
    <x v="6"/>
    <x v="5"/>
    <x v="17"/>
    <x v="209"/>
    <x v="2"/>
    <x v="12"/>
  </r>
  <r>
    <x v="74"/>
    <x v="1188"/>
    <x v="0"/>
    <x v="10"/>
    <x v="10"/>
    <x v="6"/>
    <x v="5"/>
    <x v="12"/>
    <x v="302"/>
    <x v="2"/>
    <x v="12"/>
  </r>
  <r>
    <x v="74"/>
    <x v="1189"/>
    <x v="0"/>
    <x v="2"/>
    <x v="2"/>
    <x v="1"/>
    <x v="0"/>
    <x v="38"/>
    <x v="183"/>
    <x v="2"/>
    <x v="12"/>
  </r>
  <r>
    <x v="74"/>
    <x v="1190"/>
    <x v="0"/>
    <x v="5"/>
    <x v="5"/>
    <x v="1"/>
    <x v="0"/>
    <x v="10"/>
    <x v="97"/>
    <x v="2"/>
    <x v="12"/>
  </r>
  <r>
    <x v="74"/>
    <x v="1191"/>
    <x v="0"/>
    <x v="4"/>
    <x v="4"/>
    <x v="1"/>
    <x v="0"/>
    <x v="3"/>
    <x v="34"/>
    <x v="2"/>
    <x v="12"/>
  </r>
  <r>
    <x v="74"/>
    <x v="1192"/>
    <x v="1"/>
    <x v="5"/>
    <x v="5"/>
    <x v="2"/>
    <x v="1"/>
    <x v="40"/>
    <x v="284"/>
    <x v="2"/>
    <x v="12"/>
  </r>
  <r>
    <x v="74"/>
    <x v="1193"/>
    <x v="1"/>
    <x v="11"/>
    <x v="11"/>
    <x v="1"/>
    <x v="0"/>
    <x v="7"/>
    <x v="291"/>
    <x v="2"/>
    <x v="12"/>
  </r>
  <r>
    <x v="74"/>
    <x v="1194"/>
    <x v="1"/>
    <x v="3"/>
    <x v="3"/>
    <x v="3"/>
    <x v="2"/>
    <x v="3"/>
    <x v="27"/>
    <x v="2"/>
    <x v="12"/>
  </r>
  <r>
    <x v="74"/>
    <x v="1195"/>
    <x v="2"/>
    <x v="4"/>
    <x v="4"/>
    <x v="1"/>
    <x v="0"/>
    <x v="34"/>
    <x v="238"/>
    <x v="2"/>
    <x v="12"/>
  </r>
  <r>
    <x v="74"/>
    <x v="1196"/>
    <x v="3"/>
    <x v="3"/>
    <x v="3"/>
    <x v="2"/>
    <x v="1"/>
    <x v="42"/>
    <x v="254"/>
    <x v="2"/>
    <x v="12"/>
  </r>
  <r>
    <x v="74"/>
    <x v="1197"/>
    <x v="3"/>
    <x v="3"/>
    <x v="3"/>
    <x v="2"/>
    <x v="1"/>
    <x v="43"/>
    <x v="261"/>
    <x v="2"/>
    <x v="12"/>
  </r>
  <r>
    <x v="74"/>
    <x v="1198"/>
    <x v="4"/>
    <x v="4"/>
    <x v="4"/>
    <x v="9"/>
    <x v="8"/>
    <x v="35"/>
    <x v="245"/>
    <x v="2"/>
    <x v="12"/>
  </r>
  <r>
    <x v="74"/>
    <x v="1199"/>
    <x v="5"/>
    <x v="1"/>
    <x v="1"/>
    <x v="1"/>
    <x v="0"/>
    <x v="34"/>
    <x v="139"/>
    <x v="2"/>
    <x v="12"/>
  </r>
  <r>
    <x v="74"/>
    <x v="1200"/>
    <x v="5"/>
    <x v="11"/>
    <x v="11"/>
    <x v="1"/>
    <x v="0"/>
    <x v="8"/>
    <x v="299"/>
    <x v="2"/>
    <x v="12"/>
  </r>
  <r>
    <x v="75"/>
    <x v="1201"/>
    <x v="0"/>
    <x v="8"/>
    <x v="8"/>
    <x v="4"/>
    <x v="3"/>
    <x v="6"/>
    <x v="158"/>
    <x v="2"/>
    <x v="12"/>
  </r>
  <r>
    <x v="75"/>
    <x v="1202"/>
    <x v="0"/>
    <x v="5"/>
    <x v="5"/>
    <x v="3"/>
    <x v="2"/>
    <x v="22"/>
    <x v="195"/>
    <x v="2"/>
    <x v="12"/>
  </r>
  <r>
    <x v="75"/>
    <x v="1203"/>
    <x v="1"/>
    <x v="7"/>
    <x v="7"/>
    <x v="3"/>
    <x v="2"/>
    <x v="4"/>
    <x v="92"/>
    <x v="2"/>
    <x v="12"/>
  </r>
  <r>
    <x v="75"/>
    <x v="1204"/>
    <x v="1"/>
    <x v="10"/>
    <x v="10"/>
    <x v="2"/>
    <x v="1"/>
    <x v="3"/>
    <x v="180"/>
    <x v="2"/>
    <x v="12"/>
  </r>
  <r>
    <x v="75"/>
    <x v="1205"/>
    <x v="1"/>
    <x v="0"/>
    <x v="0"/>
    <x v="2"/>
    <x v="1"/>
    <x v="6"/>
    <x v="9"/>
    <x v="2"/>
    <x v="12"/>
  </r>
  <r>
    <x v="75"/>
    <x v="1206"/>
    <x v="1"/>
    <x v="7"/>
    <x v="7"/>
    <x v="1"/>
    <x v="0"/>
    <x v="27"/>
    <x v="297"/>
    <x v="2"/>
    <x v="12"/>
  </r>
  <r>
    <x v="75"/>
    <x v="1207"/>
    <x v="2"/>
    <x v="11"/>
    <x v="11"/>
    <x v="1"/>
    <x v="0"/>
    <x v="2"/>
    <x v="202"/>
    <x v="2"/>
    <x v="12"/>
  </r>
  <r>
    <x v="75"/>
    <x v="1208"/>
    <x v="2"/>
    <x v="4"/>
    <x v="4"/>
    <x v="5"/>
    <x v="4"/>
    <x v="32"/>
    <x v="229"/>
    <x v="2"/>
    <x v="12"/>
  </r>
  <r>
    <x v="75"/>
    <x v="1209"/>
    <x v="2"/>
    <x v="10"/>
    <x v="10"/>
    <x v="1"/>
    <x v="0"/>
    <x v="16"/>
    <x v="314"/>
    <x v="2"/>
    <x v="12"/>
  </r>
  <r>
    <x v="75"/>
    <x v="1210"/>
    <x v="2"/>
    <x v="3"/>
    <x v="3"/>
    <x v="1"/>
    <x v="0"/>
    <x v="30"/>
    <x v="200"/>
    <x v="2"/>
    <x v="12"/>
  </r>
  <r>
    <x v="75"/>
    <x v="1211"/>
    <x v="3"/>
    <x v="11"/>
    <x v="11"/>
    <x v="1"/>
    <x v="0"/>
    <x v="6"/>
    <x v="282"/>
    <x v="2"/>
    <x v="12"/>
  </r>
  <r>
    <x v="75"/>
    <x v="1212"/>
    <x v="3"/>
    <x v="2"/>
    <x v="2"/>
    <x v="2"/>
    <x v="1"/>
    <x v="57"/>
    <x v="250"/>
    <x v="2"/>
    <x v="12"/>
  </r>
  <r>
    <x v="75"/>
    <x v="1213"/>
    <x v="3"/>
    <x v="7"/>
    <x v="7"/>
    <x v="3"/>
    <x v="2"/>
    <x v="6"/>
    <x v="119"/>
    <x v="2"/>
    <x v="12"/>
  </r>
  <r>
    <x v="75"/>
    <x v="1214"/>
    <x v="4"/>
    <x v="2"/>
    <x v="2"/>
    <x v="0"/>
    <x v="9"/>
    <x v="58"/>
    <x v="252"/>
    <x v="2"/>
    <x v="12"/>
  </r>
  <r>
    <x v="75"/>
    <x v="1215"/>
    <x v="4"/>
    <x v="8"/>
    <x v="8"/>
    <x v="1"/>
    <x v="0"/>
    <x v="8"/>
    <x v="189"/>
    <x v="2"/>
    <x v="12"/>
  </r>
  <r>
    <x v="75"/>
    <x v="1216"/>
    <x v="4"/>
    <x v="1"/>
    <x v="1"/>
    <x v="4"/>
    <x v="3"/>
    <x v="35"/>
    <x v="142"/>
    <x v="2"/>
    <x v="12"/>
  </r>
  <r>
    <x v="75"/>
    <x v="1217"/>
    <x v="5"/>
    <x v="3"/>
    <x v="3"/>
    <x v="5"/>
    <x v="4"/>
    <x v="37"/>
    <x v="234"/>
    <x v="2"/>
    <x v="12"/>
  </r>
  <r>
    <x v="76"/>
    <x v="1218"/>
    <x v="0"/>
    <x v="7"/>
    <x v="7"/>
    <x v="1"/>
    <x v="0"/>
    <x v="23"/>
    <x v="283"/>
    <x v="2"/>
    <x v="12"/>
  </r>
  <r>
    <x v="76"/>
    <x v="1219"/>
    <x v="0"/>
    <x v="4"/>
    <x v="4"/>
    <x v="1"/>
    <x v="0"/>
    <x v="10"/>
    <x v="82"/>
    <x v="2"/>
    <x v="12"/>
  </r>
  <r>
    <x v="76"/>
    <x v="1220"/>
    <x v="0"/>
    <x v="1"/>
    <x v="1"/>
    <x v="1"/>
    <x v="0"/>
    <x v="49"/>
    <x v="195"/>
    <x v="2"/>
    <x v="12"/>
  </r>
  <r>
    <x v="76"/>
    <x v="1221"/>
    <x v="0"/>
    <x v="3"/>
    <x v="3"/>
    <x v="0"/>
    <x v="9"/>
    <x v="44"/>
    <x v="264"/>
    <x v="2"/>
    <x v="12"/>
  </r>
  <r>
    <x v="76"/>
    <x v="1222"/>
    <x v="0"/>
    <x v="0"/>
    <x v="0"/>
    <x v="1"/>
    <x v="0"/>
    <x v="49"/>
    <x v="144"/>
    <x v="2"/>
    <x v="12"/>
  </r>
  <r>
    <x v="76"/>
    <x v="1223"/>
    <x v="0"/>
    <x v="11"/>
    <x v="11"/>
    <x v="1"/>
    <x v="0"/>
    <x v="2"/>
    <x v="202"/>
    <x v="2"/>
    <x v="12"/>
  </r>
  <r>
    <x v="76"/>
    <x v="1224"/>
    <x v="1"/>
    <x v="5"/>
    <x v="5"/>
    <x v="1"/>
    <x v="0"/>
    <x v="11"/>
    <x v="110"/>
    <x v="2"/>
    <x v="12"/>
  </r>
  <r>
    <x v="76"/>
    <x v="1225"/>
    <x v="1"/>
    <x v="7"/>
    <x v="7"/>
    <x v="7"/>
    <x v="6"/>
    <x v="9"/>
    <x v="159"/>
    <x v="2"/>
    <x v="12"/>
  </r>
  <r>
    <x v="76"/>
    <x v="1226"/>
    <x v="1"/>
    <x v="9"/>
    <x v="9"/>
    <x v="1"/>
    <x v="0"/>
    <x v="4"/>
    <x v="166"/>
    <x v="2"/>
    <x v="12"/>
  </r>
  <r>
    <x v="76"/>
    <x v="1227"/>
    <x v="1"/>
    <x v="8"/>
    <x v="8"/>
    <x v="3"/>
    <x v="2"/>
    <x v="13"/>
    <x v="248"/>
    <x v="2"/>
    <x v="12"/>
  </r>
  <r>
    <x v="76"/>
    <x v="1228"/>
    <x v="1"/>
    <x v="5"/>
    <x v="5"/>
    <x v="1"/>
    <x v="0"/>
    <x v="17"/>
    <x v="158"/>
    <x v="2"/>
    <x v="12"/>
  </r>
  <r>
    <x v="76"/>
    <x v="1229"/>
    <x v="2"/>
    <x v="3"/>
    <x v="3"/>
    <x v="5"/>
    <x v="4"/>
    <x v="25"/>
    <x v="173"/>
    <x v="2"/>
    <x v="12"/>
  </r>
  <r>
    <x v="76"/>
    <x v="1230"/>
    <x v="2"/>
    <x v="7"/>
    <x v="7"/>
    <x v="9"/>
    <x v="8"/>
    <x v="26"/>
    <x v="293"/>
    <x v="2"/>
    <x v="12"/>
  </r>
  <r>
    <x v="76"/>
    <x v="1231"/>
    <x v="2"/>
    <x v="8"/>
    <x v="8"/>
    <x v="1"/>
    <x v="0"/>
    <x v="24"/>
    <x v="308"/>
    <x v="2"/>
    <x v="12"/>
  </r>
  <r>
    <x v="76"/>
    <x v="1232"/>
    <x v="3"/>
    <x v="7"/>
    <x v="7"/>
    <x v="1"/>
    <x v="0"/>
    <x v="17"/>
    <x v="241"/>
    <x v="2"/>
    <x v="12"/>
  </r>
  <r>
    <x v="76"/>
    <x v="1233"/>
    <x v="3"/>
    <x v="1"/>
    <x v="1"/>
    <x v="8"/>
    <x v="7"/>
    <x v="41"/>
    <x v="167"/>
    <x v="2"/>
    <x v="12"/>
  </r>
  <r>
    <x v="76"/>
    <x v="1234"/>
    <x v="4"/>
    <x v="2"/>
    <x v="2"/>
    <x v="1"/>
    <x v="0"/>
    <x v="20"/>
    <x v="96"/>
    <x v="2"/>
    <x v="12"/>
  </r>
  <r>
    <x v="76"/>
    <x v="1235"/>
    <x v="4"/>
    <x v="3"/>
    <x v="3"/>
    <x v="1"/>
    <x v="0"/>
    <x v="7"/>
    <x v="53"/>
    <x v="2"/>
    <x v="12"/>
  </r>
  <r>
    <x v="76"/>
    <x v="1236"/>
    <x v="4"/>
    <x v="10"/>
    <x v="10"/>
    <x v="1"/>
    <x v="0"/>
    <x v="9"/>
    <x v="281"/>
    <x v="2"/>
    <x v="12"/>
  </r>
  <r>
    <x v="76"/>
    <x v="1237"/>
    <x v="5"/>
    <x v="9"/>
    <x v="9"/>
    <x v="0"/>
    <x v="9"/>
    <x v="0"/>
    <x v="77"/>
    <x v="2"/>
    <x v="12"/>
  </r>
  <r>
    <x v="76"/>
    <x v="1238"/>
    <x v="5"/>
    <x v="1"/>
    <x v="1"/>
    <x v="1"/>
    <x v="0"/>
    <x v="48"/>
    <x v="191"/>
    <x v="2"/>
    <x v="12"/>
  </r>
  <r>
    <x v="76"/>
    <x v="1239"/>
    <x v="5"/>
    <x v="4"/>
    <x v="4"/>
    <x v="1"/>
    <x v="0"/>
    <x v="8"/>
    <x v="68"/>
    <x v="2"/>
    <x v="12"/>
  </r>
  <r>
    <x v="77"/>
    <x v="1240"/>
    <x v="0"/>
    <x v="5"/>
    <x v="5"/>
    <x v="1"/>
    <x v="0"/>
    <x v="41"/>
    <x v="288"/>
    <x v="2"/>
    <x v="12"/>
  </r>
  <r>
    <x v="77"/>
    <x v="1241"/>
    <x v="0"/>
    <x v="10"/>
    <x v="10"/>
    <x v="1"/>
    <x v="0"/>
    <x v="12"/>
    <x v="302"/>
    <x v="2"/>
    <x v="12"/>
  </r>
  <r>
    <x v="77"/>
    <x v="1242"/>
    <x v="0"/>
    <x v="7"/>
    <x v="7"/>
    <x v="1"/>
    <x v="0"/>
    <x v="5"/>
    <x v="106"/>
    <x v="2"/>
    <x v="12"/>
  </r>
  <r>
    <x v="77"/>
    <x v="1243"/>
    <x v="0"/>
    <x v="10"/>
    <x v="10"/>
    <x v="6"/>
    <x v="5"/>
    <x v="16"/>
    <x v="314"/>
    <x v="2"/>
    <x v="12"/>
  </r>
  <r>
    <x v="77"/>
    <x v="1244"/>
    <x v="0"/>
    <x v="1"/>
    <x v="1"/>
    <x v="1"/>
    <x v="0"/>
    <x v="46"/>
    <x v="186"/>
    <x v="2"/>
    <x v="12"/>
  </r>
  <r>
    <x v="77"/>
    <x v="1245"/>
    <x v="0"/>
    <x v="7"/>
    <x v="7"/>
    <x v="4"/>
    <x v="3"/>
    <x v="18"/>
    <x v="249"/>
    <x v="2"/>
    <x v="12"/>
  </r>
  <r>
    <x v="77"/>
    <x v="1246"/>
    <x v="1"/>
    <x v="11"/>
    <x v="11"/>
    <x v="1"/>
    <x v="0"/>
    <x v="7"/>
    <x v="291"/>
    <x v="2"/>
    <x v="12"/>
  </r>
  <r>
    <x v="77"/>
    <x v="1247"/>
    <x v="1"/>
    <x v="10"/>
    <x v="10"/>
    <x v="0"/>
    <x v="9"/>
    <x v="16"/>
    <x v="314"/>
    <x v="2"/>
    <x v="12"/>
  </r>
  <r>
    <x v="77"/>
    <x v="1248"/>
    <x v="1"/>
    <x v="0"/>
    <x v="0"/>
    <x v="8"/>
    <x v="7"/>
    <x v="52"/>
    <x v="152"/>
    <x v="2"/>
    <x v="12"/>
  </r>
  <r>
    <x v="77"/>
    <x v="1249"/>
    <x v="2"/>
    <x v="0"/>
    <x v="0"/>
    <x v="1"/>
    <x v="0"/>
    <x v="14"/>
    <x v="33"/>
    <x v="2"/>
    <x v="12"/>
  </r>
  <r>
    <x v="77"/>
    <x v="1250"/>
    <x v="3"/>
    <x v="10"/>
    <x v="10"/>
    <x v="4"/>
    <x v="3"/>
    <x v="5"/>
    <x v="222"/>
    <x v="2"/>
    <x v="12"/>
  </r>
  <r>
    <x v="77"/>
    <x v="1251"/>
    <x v="3"/>
    <x v="2"/>
    <x v="2"/>
    <x v="1"/>
    <x v="0"/>
    <x v="50"/>
    <x v="227"/>
    <x v="2"/>
    <x v="12"/>
  </r>
  <r>
    <x v="77"/>
    <x v="1252"/>
    <x v="4"/>
    <x v="9"/>
    <x v="9"/>
    <x v="0"/>
    <x v="9"/>
    <x v="4"/>
    <x v="166"/>
    <x v="2"/>
    <x v="12"/>
  </r>
  <r>
    <x v="77"/>
    <x v="1253"/>
    <x v="5"/>
    <x v="1"/>
    <x v="1"/>
    <x v="1"/>
    <x v="0"/>
    <x v="8"/>
    <x v="29"/>
    <x v="2"/>
    <x v="12"/>
  </r>
  <r>
    <x v="77"/>
    <x v="1254"/>
    <x v="5"/>
    <x v="6"/>
    <x v="6"/>
    <x v="3"/>
    <x v="2"/>
    <x v="17"/>
    <x v="209"/>
    <x v="2"/>
    <x v="12"/>
  </r>
  <r>
    <x v="78"/>
    <x v="1255"/>
    <x v="0"/>
    <x v="4"/>
    <x v="4"/>
    <x v="1"/>
    <x v="0"/>
    <x v="14"/>
    <x v="116"/>
    <x v="2"/>
    <x v="12"/>
  </r>
  <r>
    <x v="78"/>
    <x v="1256"/>
    <x v="1"/>
    <x v="10"/>
    <x v="10"/>
    <x v="1"/>
    <x v="0"/>
    <x v="15"/>
    <x v="312"/>
    <x v="2"/>
    <x v="12"/>
  </r>
  <r>
    <x v="78"/>
    <x v="1257"/>
    <x v="1"/>
    <x v="3"/>
    <x v="3"/>
    <x v="1"/>
    <x v="0"/>
    <x v="21"/>
    <x v="149"/>
    <x v="2"/>
    <x v="12"/>
  </r>
  <r>
    <x v="78"/>
    <x v="1258"/>
    <x v="2"/>
    <x v="10"/>
    <x v="10"/>
    <x v="1"/>
    <x v="0"/>
    <x v="13"/>
    <x v="307"/>
    <x v="2"/>
    <x v="12"/>
  </r>
  <r>
    <x v="78"/>
    <x v="1259"/>
    <x v="2"/>
    <x v="9"/>
    <x v="9"/>
    <x v="1"/>
    <x v="0"/>
    <x v="9"/>
    <x v="246"/>
    <x v="2"/>
    <x v="12"/>
  </r>
  <r>
    <x v="78"/>
    <x v="1260"/>
    <x v="3"/>
    <x v="6"/>
    <x v="6"/>
    <x v="1"/>
    <x v="0"/>
    <x v="11"/>
    <x v="153"/>
    <x v="2"/>
    <x v="12"/>
  </r>
  <r>
    <x v="78"/>
    <x v="1261"/>
    <x v="4"/>
    <x v="11"/>
    <x v="11"/>
    <x v="1"/>
    <x v="0"/>
    <x v="4"/>
    <x v="248"/>
    <x v="2"/>
    <x v="12"/>
  </r>
  <r>
    <x v="78"/>
    <x v="1262"/>
    <x v="4"/>
    <x v="8"/>
    <x v="8"/>
    <x v="3"/>
    <x v="2"/>
    <x v="29"/>
    <x v="316"/>
    <x v="2"/>
    <x v="12"/>
  </r>
  <r>
    <x v="78"/>
    <x v="1263"/>
    <x v="4"/>
    <x v="3"/>
    <x v="3"/>
    <x v="3"/>
    <x v="2"/>
    <x v="33"/>
    <x v="215"/>
    <x v="2"/>
    <x v="12"/>
  </r>
  <r>
    <x v="78"/>
    <x v="1264"/>
    <x v="5"/>
    <x v="2"/>
    <x v="2"/>
    <x v="4"/>
    <x v="3"/>
    <x v="1"/>
    <x v="7"/>
    <x v="2"/>
    <x v="12"/>
  </r>
  <r>
    <x v="78"/>
    <x v="1265"/>
    <x v="5"/>
    <x v="8"/>
    <x v="8"/>
    <x v="1"/>
    <x v="0"/>
    <x v="16"/>
    <x v="274"/>
    <x v="2"/>
    <x v="12"/>
  </r>
  <r>
    <x v="78"/>
    <x v="1266"/>
    <x v="5"/>
    <x v="5"/>
    <x v="5"/>
    <x v="1"/>
    <x v="0"/>
    <x v="30"/>
    <x v="244"/>
    <x v="2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MonthLin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H8" firstHeaderRow="1" firstDataRow="2" firstDataCol="1"/>
  <pivotFields count="11">
    <pivotField compact="0" showAll="0"/>
    <pivotField compact="0" showAll="0"/>
    <pivotField axis="axisCol" compact="0" showAll="0" defaultSubtotal="0">
      <items count="6"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</pivotFields>
  <rowFields count="1">
    <field x="9"/>
  </rowFields>
  <colFields count="1">
    <field x="2"/>
  </colFields>
  <dataFields count="1">
    <dataField name="Sum - Qty" fld="7" subtotal="sum" numFmtId="165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Country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3:C35" firstHeaderRow="1" firstDataRow="1" firstDataCol="2"/>
  <pivotFields count="11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showAll="0"/>
    <pivotField dataField="1" compact="0" showAll="0"/>
    <pivotField compact="0" showAll="0"/>
    <pivotField compact="0" showAll="0"/>
  </pivotFields>
  <rowFields count="1">
    <field x="6"/>
  </rowFields>
  <dataFields count="2">
    <dataField name="Sum - Qty" fld="7" subtotal="sum" numFmtId="165"/>
    <dataField name="Sum - Value" fld="8" subtotal="sum" numFmtId="165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Model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F13:G26" firstHeaderRow="1" firstDataRow="1" firstDataCol="1"/>
  <pivotFields count="11">
    <pivotField compact="0" showAll="0"/>
    <pivotField compact="0" showAll="0"/>
    <pivotField compact="0" showAll="0"/>
    <pivotField compact="0" showAll="0"/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/>
    <pivotField compact="0" showAll="0"/>
    <pivotField dataField="1" compact="0" showAll="0"/>
    <pivotField compact="0" showAll="0"/>
    <pivotField compact="0" showAll="0"/>
    <pivotField compact="0" showAll="0"/>
  </pivotFields>
  <rowFields count="1">
    <field x="4"/>
  </rowFields>
  <dataFields count="1">
    <dataField name="Sum - Qty" fld="7" subtotal="sum" numFmtId="165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37"/>
    <col collapsed="false" customWidth="true" hidden="false" outlineLevel="0" max="2" min="2" style="0" width="3.06"/>
    <col collapsed="false" customWidth="true" hidden="false" outlineLevel="0" max="3" min="3" style="0" width="22.47"/>
    <col collapsed="false" customWidth="true" hidden="false" outlineLevel="0" max="4" min="4" style="0" width="3.06"/>
    <col collapsed="false" customWidth="true" hidden="false" outlineLevel="0" max="5" min="5" style="0" width="17.37"/>
    <col collapsed="false" customWidth="true" hidden="false" outlineLevel="0" max="6" min="6" style="0" width="3.06"/>
    <col collapsed="false" customWidth="true" hidden="false" outlineLevel="0" max="7" min="7" style="0" width="25.54"/>
  </cols>
  <sheetData>
    <row r="1" customFormat="false" ht="22.05" hidden="false" customHeight="false" outlineLevel="0" collapsed="false">
      <c r="A1" s="1" t="s">
        <v>0</v>
      </c>
    </row>
    <row r="2" customFormat="false" ht="12.8" hidden="false" customHeight="false" outlineLevel="0" collapsed="false">
      <c r="A2" s="2" t="s">
        <v>1</v>
      </c>
    </row>
    <row r="3" customFormat="false" ht="12.8" hidden="false" customHeight="false" outlineLevel="0" collapsed="false">
      <c r="A3" s="3" t="s">
        <v>2</v>
      </c>
      <c r="B3" s="3"/>
      <c r="C3" s="3" t="s">
        <v>3</v>
      </c>
      <c r="D3" s="3"/>
      <c r="E3" s="3" t="s">
        <v>4</v>
      </c>
      <c r="F3" s="3"/>
      <c r="G3" s="3" t="s">
        <v>5</v>
      </c>
    </row>
    <row r="4" customFormat="false" ht="19.7" hidden="false" customHeight="false" outlineLevel="0" collapsed="false">
      <c r="A4" s="4" t="n">
        <f aca="false">Report!A4</f>
        <v>29384</v>
      </c>
      <c r="B4" s="5"/>
      <c r="C4" s="6" t="n">
        <f aca="false">Report!B4/1000000</f>
        <v>279.1944</v>
      </c>
      <c r="D4" s="5"/>
      <c r="E4" s="7" t="n">
        <f aca="false">Report!C4</f>
        <v>0.470289953716308</v>
      </c>
      <c r="F4" s="5"/>
      <c r="G4" s="5" t="str">
        <f aca="false">Report!D4</f>
        <v>32-inch Smart TV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6.56"/>
    <col collapsed="false" customWidth="true" hidden="false" outlineLevel="0" max="2" min="2" style="0" width="18.39"/>
    <col collapsed="false" customWidth="true" hidden="false" outlineLevel="0" max="3" min="3" style="0" width="20.43"/>
    <col collapsed="false" customWidth="true" hidden="false" outlineLevel="0" max="4" min="4" style="0" width="17.37"/>
    <col collapsed="false" customWidth="true" hidden="false" outlineLevel="0" max="5" min="5" style="0" width="13.28"/>
    <col collapsed="false" customWidth="true" hidden="false" outlineLevel="0" max="6" min="6" style="0" width="15.32"/>
  </cols>
  <sheetData>
    <row r="1" customFormat="false" ht="19.7" hidden="false" customHeight="false" outlineLevel="0" collapsed="false">
      <c r="A1" s="8" t="s">
        <v>6</v>
      </c>
    </row>
    <row r="3" customFormat="false" ht="12.8" hidden="false" customHeight="false" outlineLevel="0" collapsed="false">
      <c r="A3" s="9" t="s">
        <v>2</v>
      </c>
      <c r="B3" s="9" t="s">
        <v>7</v>
      </c>
      <c r="C3" s="9" t="s">
        <v>4</v>
      </c>
      <c r="D3" s="9" t="s">
        <v>5</v>
      </c>
    </row>
    <row r="4" customFormat="false" ht="17.35" hidden="false" customHeight="false" outlineLevel="0" collapsed="false">
      <c r="A4" s="10" t="n">
        <f aca="false">SUM(Data!$H$2:$H$1268)</f>
        <v>29384</v>
      </c>
      <c r="B4" s="10" t="n">
        <f aca="false">SUM(Data!$I$2:$I$1268)</f>
        <v>279194400</v>
      </c>
      <c r="C4" s="11" t="n">
        <f aca="false">1-SUMIF(Data!$G$2:$G$1268,"Egypt",Data!$H$2:$H$1268)/SUM(Data!$H$2:$H$1268)</f>
        <v>0.470289953716308</v>
      </c>
      <c r="D4" s="12" t="str">
        <f aca="false">INDEX(A26:A37,MATCH(MAX(B26:B37),B26:B37,0))</f>
        <v>32-inch Smart TV</v>
      </c>
    </row>
    <row r="6" customFormat="false" ht="12.8" hidden="false" customHeight="false" outlineLevel="0" collapsed="false">
      <c r="A6" s="9" t="s">
        <v>8</v>
      </c>
      <c r="B6" s="9" t="s">
        <v>9</v>
      </c>
      <c r="C6" s="9" t="s">
        <v>10</v>
      </c>
      <c r="E6" s="9" t="s">
        <v>11</v>
      </c>
      <c r="F6" s="9" t="s">
        <v>9</v>
      </c>
    </row>
    <row r="7" customFormat="false" ht="12.8" hidden="false" customHeight="false" outlineLevel="0" collapsed="false">
      <c r="A7" s="0" t="s">
        <v>12</v>
      </c>
      <c r="B7" s="13" t="n">
        <f aca="false">SUMIF(Data!$J$2:$J$1268,A7,Data!$H$2:$H$1268)</f>
        <v>9737</v>
      </c>
      <c r="C7" s="13" t="n">
        <f aca="false">SUMIF(Data!$J$2:$J$1268,A7,Data!$I$2:$I$1268)</f>
        <v>90935800</v>
      </c>
      <c r="E7" s="0" t="s">
        <v>13</v>
      </c>
      <c r="F7" s="13" t="n">
        <f aca="false">SUMIF(Data!$C$2:$C$1268,E7,Data!$H$2:$H$1268)</f>
        <v>5886</v>
      </c>
    </row>
    <row r="8" customFormat="false" ht="12.8" hidden="false" customHeight="false" outlineLevel="0" collapsed="false">
      <c r="A8" s="0" t="s">
        <v>14</v>
      </c>
      <c r="B8" s="13" t="n">
        <f aca="false">SUMIF(Data!$J$2:$J$1268,A8,Data!$H$2:$H$1268)</f>
        <v>9643</v>
      </c>
      <c r="C8" s="13" t="n">
        <f aca="false">SUMIF(Data!$J$2:$J$1268,A8,Data!$I$2:$I$1268)</f>
        <v>90458400</v>
      </c>
      <c r="E8" s="0" t="s">
        <v>15</v>
      </c>
      <c r="F8" s="13" t="n">
        <f aca="false">SUMIF(Data!$C$2:$C$1268,E8,Data!$H$2:$H$1268)</f>
        <v>5077</v>
      </c>
    </row>
    <row r="9" customFormat="false" ht="12.8" hidden="false" customHeight="false" outlineLevel="0" collapsed="false">
      <c r="A9" s="0" t="s">
        <v>16</v>
      </c>
      <c r="B9" s="13" t="n">
        <f aca="false">SUMIF(Data!$J$2:$J$1268,A9,Data!$H$2:$H$1268)</f>
        <v>10004</v>
      </c>
      <c r="C9" s="13" t="n">
        <f aca="false">SUMIF(Data!$J$2:$J$1268,A9,Data!$I$2:$I$1268)</f>
        <v>97800200</v>
      </c>
      <c r="E9" s="0" t="s">
        <v>17</v>
      </c>
      <c r="F9" s="13" t="n">
        <f aca="false">SUMIF(Data!$C$2:$C$1268,E9,Data!$H$2:$H$1268)</f>
        <v>5567</v>
      </c>
    </row>
    <row r="10" customFormat="false" ht="12.8" hidden="false" customHeight="false" outlineLevel="0" collapsed="false">
      <c r="A10" s="14" t="s">
        <v>18</v>
      </c>
      <c r="B10" s="15" t="n">
        <f aca="false">SUM(B7:B9)</f>
        <v>29384</v>
      </c>
      <c r="C10" s="15" t="n">
        <f aca="false">SUM(C7:C9)</f>
        <v>279194400</v>
      </c>
      <c r="E10" s="0" t="s">
        <v>19</v>
      </c>
      <c r="F10" s="13" t="n">
        <f aca="false">SUMIF(Data!$C$2:$C$1268,E10,Data!$H$2:$H$1268)</f>
        <v>4619</v>
      </c>
    </row>
    <row r="11" customFormat="false" ht="12.8" hidden="false" customHeight="false" outlineLevel="0" collapsed="false">
      <c r="E11" s="0" t="s">
        <v>20</v>
      </c>
      <c r="F11" s="13" t="n">
        <f aca="false">SUMIF(Data!$C$2:$C$1268,E11,Data!$H$2:$H$1268)</f>
        <v>4567</v>
      </c>
    </row>
    <row r="12" customFormat="false" ht="12.8" hidden="false" customHeight="false" outlineLevel="0" collapsed="false">
      <c r="E12" s="0" t="s">
        <v>21</v>
      </c>
      <c r="F12" s="13" t="n">
        <f aca="false">SUMIF(Data!$C$2:$C$1268,E12,Data!$H$2:$H$1268)</f>
        <v>3668</v>
      </c>
    </row>
    <row r="13" customFormat="false" ht="12.8" hidden="false" customHeight="false" outlineLevel="0" collapsed="false">
      <c r="E13" s="14" t="s">
        <v>18</v>
      </c>
      <c r="F13" s="15" t="n">
        <f aca="false">SUM(F7:F12)</f>
        <v>29384</v>
      </c>
    </row>
    <row r="14" customFormat="false" ht="12.8" hidden="false" customHeight="false" outlineLevel="0" collapsed="false">
      <c r="A14" s="9" t="s">
        <v>22</v>
      </c>
      <c r="B14" s="9" t="s">
        <v>9</v>
      </c>
      <c r="C14" s="9" t="s">
        <v>10</v>
      </c>
    </row>
    <row r="15" customFormat="false" ht="12.8" hidden="false" customHeight="false" outlineLevel="0" collapsed="false">
      <c r="A15" s="0" t="s">
        <v>23</v>
      </c>
      <c r="B15" s="13" t="n">
        <f aca="false">SUMIF(Data!$G$2:$G$1268,A15,Data!$H$2:$H$1268)</f>
        <v>15565</v>
      </c>
      <c r="C15" s="13" t="n">
        <f aca="false">SUMIF(Data!$G$2:$G$1268,A15,Data!$I$2:$I$1268)</f>
        <v>148632300</v>
      </c>
    </row>
    <row r="16" customFormat="false" ht="12.8" hidden="false" customHeight="false" outlineLevel="0" collapsed="false">
      <c r="A16" s="0" t="s">
        <v>24</v>
      </c>
      <c r="B16" s="13" t="n">
        <f aca="false">SUMIF(Data!$G$2:$G$1268,A16,Data!$H$2:$H$1268)</f>
        <v>1768</v>
      </c>
      <c r="C16" s="13" t="n">
        <f aca="false">SUMIF(Data!$G$2:$G$1268,A16,Data!$I$2:$I$1268)</f>
        <v>15404800</v>
      </c>
    </row>
    <row r="17" customFormat="false" ht="12.8" hidden="false" customHeight="false" outlineLevel="0" collapsed="false">
      <c r="A17" s="0" t="s">
        <v>25</v>
      </c>
      <c r="B17" s="13" t="n">
        <f aca="false">SUMIF(Data!$G$2:$G$1268,A17,Data!$H$2:$H$1268)</f>
        <v>1761</v>
      </c>
      <c r="C17" s="13" t="n">
        <f aca="false">SUMIF(Data!$G$2:$G$1268,A17,Data!$I$2:$I$1268)</f>
        <v>16720800</v>
      </c>
    </row>
    <row r="18" customFormat="false" ht="12.8" hidden="false" customHeight="false" outlineLevel="0" collapsed="false">
      <c r="A18" s="0" t="s">
        <v>26</v>
      </c>
      <c r="B18" s="13" t="n">
        <f aca="false">SUMIF(Data!$G$2:$G$1268,A18,Data!$H$2:$H$1268)</f>
        <v>1739</v>
      </c>
      <c r="C18" s="13" t="n">
        <f aca="false">SUMIF(Data!$G$2:$G$1268,A18,Data!$I$2:$I$1268)</f>
        <v>16307500</v>
      </c>
    </row>
    <row r="19" customFormat="false" ht="12.8" hidden="false" customHeight="false" outlineLevel="0" collapsed="false">
      <c r="A19" s="0" t="s">
        <v>27</v>
      </c>
      <c r="B19" s="13" t="n">
        <f aca="false">SUMIF(Data!$G$2:$G$1268,A19,Data!$H$2:$H$1268)</f>
        <v>1509</v>
      </c>
      <c r="C19" s="13" t="n">
        <f aca="false">SUMIF(Data!$G$2:$G$1268,A19,Data!$I$2:$I$1268)</f>
        <v>15452300</v>
      </c>
    </row>
    <row r="20" customFormat="false" ht="12.8" hidden="false" customHeight="false" outlineLevel="0" collapsed="false">
      <c r="A20" s="0" t="s">
        <v>28</v>
      </c>
      <c r="B20" s="13" t="n">
        <f aca="false">SUMIF(Data!$G$2:$G$1268,A20,Data!$H$2:$H$1268)</f>
        <v>1461</v>
      </c>
      <c r="C20" s="13" t="n">
        <f aca="false">SUMIF(Data!$G$2:$G$1268,A20,Data!$I$2:$I$1268)</f>
        <v>14625100</v>
      </c>
    </row>
    <row r="21" customFormat="false" ht="12.8" hidden="false" customHeight="false" outlineLevel="0" collapsed="false">
      <c r="A21" s="0" t="s">
        <v>29</v>
      </c>
      <c r="B21" s="13" t="n">
        <f aca="false">SUMIF(Data!$G$2:$G$1268,A21,Data!$H$2:$H$1268)</f>
        <v>1443</v>
      </c>
      <c r="C21" s="13" t="n">
        <f aca="false">SUMIF(Data!$G$2:$G$1268,A21,Data!$I$2:$I$1268)</f>
        <v>15448400</v>
      </c>
    </row>
    <row r="22" customFormat="false" ht="12.8" hidden="false" customHeight="false" outlineLevel="0" collapsed="false">
      <c r="A22" s="0" t="s">
        <v>30</v>
      </c>
      <c r="B22" s="13" t="n">
        <f aca="false">SUMIF(Data!$G$2:$G$1268,A22,Data!$H$2:$H$1268)</f>
        <v>1442</v>
      </c>
      <c r="C22" s="13" t="n">
        <f aca="false">SUMIF(Data!$G$2:$G$1268,A22,Data!$I$2:$I$1268)</f>
        <v>12976200</v>
      </c>
    </row>
    <row r="23" customFormat="false" ht="12.8" hidden="false" customHeight="false" outlineLevel="0" collapsed="false">
      <c r="A23" s="0" t="s">
        <v>31</v>
      </c>
      <c r="B23" s="13" t="n">
        <f aca="false">SUMIF(Data!$G$2:$G$1268,A23,Data!$H$2:$H$1268)</f>
        <v>1402</v>
      </c>
      <c r="C23" s="13" t="n">
        <f aca="false">SUMIF(Data!$G$2:$G$1268,A23,Data!$I$2:$I$1268)</f>
        <v>13131100</v>
      </c>
    </row>
    <row r="24" customFormat="false" ht="12.8" hidden="false" customHeight="false" outlineLevel="0" collapsed="false">
      <c r="A24" s="0" t="s">
        <v>32</v>
      </c>
      <c r="B24" s="13" t="n">
        <f aca="false">SUMIF(Data!$G$2:$G$1268,A24,Data!$H$2:$H$1268)</f>
        <v>1294</v>
      </c>
      <c r="C24" s="13" t="n">
        <f aca="false">SUMIF(Data!$G$2:$G$1268,A24,Data!$I$2:$I$1268)</f>
        <v>10495900</v>
      </c>
    </row>
    <row r="25" customFormat="false" ht="12.8" hidden="false" customHeight="false" outlineLevel="0" collapsed="false">
      <c r="A25" s="9" t="s">
        <v>33</v>
      </c>
      <c r="B25" s="9" t="s">
        <v>9</v>
      </c>
    </row>
    <row r="26" customFormat="false" ht="12.8" hidden="false" customHeight="false" outlineLevel="0" collapsed="false">
      <c r="A26" s="0" t="s">
        <v>34</v>
      </c>
      <c r="B26" s="13" t="n">
        <f aca="false">SUMIF(Data!$E$2:$E$1268,A26,Data!$H$2:$H$1268)</f>
        <v>3975</v>
      </c>
    </row>
    <row r="27" customFormat="false" ht="12.8" hidden="false" customHeight="false" outlineLevel="0" collapsed="false">
      <c r="A27" s="0" t="s">
        <v>35</v>
      </c>
      <c r="B27" s="13" t="n">
        <f aca="false">SUMIF(Data!$E$2:$E$1268,A27,Data!$H$2:$H$1268)</f>
        <v>3820</v>
      </c>
    </row>
    <row r="28" customFormat="false" ht="12.8" hidden="false" customHeight="false" outlineLevel="0" collapsed="false">
      <c r="A28" s="0" t="s">
        <v>36</v>
      </c>
      <c r="B28" s="13" t="n">
        <f aca="false">SUMIF(Data!$E$2:$E$1268,A28,Data!$H$2:$H$1268)</f>
        <v>3243</v>
      </c>
    </row>
    <row r="29" customFormat="false" ht="12.8" hidden="false" customHeight="false" outlineLevel="0" collapsed="false">
      <c r="A29" s="0" t="s">
        <v>37</v>
      </c>
      <c r="B29" s="13" t="n">
        <f aca="false">SUMIF(Data!$E$2:$E$1268,A29,Data!$H$2:$H$1268)</f>
        <v>2790</v>
      </c>
    </row>
    <row r="30" customFormat="false" ht="12.8" hidden="false" customHeight="false" outlineLevel="0" collapsed="false">
      <c r="A30" s="0" t="s">
        <v>38</v>
      </c>
      <c r="B30" s="13" t="n">
        <f aca="false">SUMIF(Data!$E$2:$E$1268,A30,Data!$H$2:$H$1268)</f>
        <v>2678</v>
      </c>
    </row>
    <row r="31" customFormat="false" ht="12.8" hidden="false" customHeight="false" outlineLevel="0" collapsed="false">
      <c r="A31" s="0" t="s">
        <v>39</v>
      </c>
      <c r="B31" s="13" t="n">
        <f aca="false">SUMIF(Data!$E$2:$E$1268,A31,Data!$H$2:$H$1268)</f>
        <v>2527</v>
      </c>
    </row>
    <row r="32" customFormat="false" ht="12.8" hidden="false" customHeight="false" outlineLevel="0" collapsed="false">
      <c r="A32" s="0" t="s">
        <v>40</v>
      </c>
      <c r="B32" s="13" t="n">
        <f aca="false">SUMIF(Data!$E$2:$E$1268,A32,Data!$H$2:$H$1268)</f>
        <v>2313</v>
      </c>
    </row>
    <row r="33" customFormat="false" ht="12.8" hidden="false" customHeight="false" outlineLevel="0" collapsed="false">
      <c r="A33" s="0" t="s">
        <v>41</v>
      </c>
      <c r="B33" s="13" t="n">
        <f aca="false">SUMIF(Data!$E$2:$E$1268,A33,Data!$H$2:$H$1268)</f>
        <v>2166</v>
      </c>
    </row>
    <row r="34" customFormat="false" ht="12.8" hidden="false" customHeight="false" outlineLevel="0" collapsed="false">
      <c r="A34" s="0" t="s">
        <v>42</v>
      </c>
      <c r="B34" s="13" t="n">
        <f aca="false">SUMIF(Data!$E$2:$E$1268,A34,Data!$H$2:$H$1268)</f>
        <v>1881</v>
      </c>
    </row>
    <row r="35" customFormat="false" ht="12.8" hidden="false" customHeight="false" outlineLevel="0" collapsed="false">
      <c r="A35" s="0" t="s">
        <v>43</v>
      </c>
      <c r="B35" s="13" t="n">
        <f aca="false">SUMIF(Data!$E$2:$E$1268,A35,Data!$H$2:$H$1268)</f>
        <v>1591</v>
      </c>
    </row>
    <row r="36" customFormat="false" ht="12.8" hidden="false" customHeight="false" outlineLevel="0" collapsed="false">
      <c r="A36" s="0" t="s">
        <v>44</v>
      </c>
      <c r="B36" s="13" t="n">
        <f aca="false">SUMIF(Data!$E$2:$E$1268,A36,Data!$H$2:$H$1268)</f>
        <v>1325</v>
      </c>
    </row>
    <row r="37" customFormat="false" ht="12.8" hidden="false" customHeight="false" outlineLevel="0" collapsed="false">
      <c r="A37" s="0" t="s">
        <v>45</v>
      </c>
      <c r="B37" s="13" t="n">
        <f aca="false">SUMIF(Data!$E$2:$E$1268,A37,Data!$H$2:$H$1268)</f>
        <v>1075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54"/>
    <col collapsed="false" customWidth="true" hidden="false" outlineLevel="0" max="2" min="2" style="0" width="13.28"/>
    <col collapsed="false" customWidth="true" hidden="false" outlineLevel="0" max="3" min="3" style="0" width="16.34"/>
    <col collapsed="false" customWidth="true" hidden="false" outlineLevel="0" max="5" min="4" style="0" width="12.26"/>
    <col collapsed="false" customWidth="true" hidden="false" outlineLevel="0" max="6" min="6" style="0" width="25.54"/>
    <col collapsed="false" customWidth="true" hidden="false" outlineLevel="0" max="7" min="7" style="0" width="13.28"/>
    <col collapsed="false" customWidth="true" hidden="false" outlineLevel="0" max="8" min="8" style="0" width="12.26"/>
  </cols>
  <sheetData>
    <row r="1" customFormat="false" ht="16.15" hidden="false" customHeight="false" outlineLevel="0" collapsed="false">
      <c r="A1" s="16" t="s">
        <v>46</v>
      </c>
    </row>
    <row r="3" customFormat="false" ht="12.8" hidden="false" customHeight="false" outlineLevel="0" collapsed="false">
      <c r="A3" s="17" t="s">
        <v>47</v>
      </c>
      <c r="B3" s="18" t="s">
        <v>48</v>
      </c>
      <c r="C3" s="19"/>
      <c r="D3" s="19"/>
      <c r="E3" s="19"/>
      <c r="F3" s="19"/>
      <c r="G3" s="19"/>
      <c r="H3" s="20"/>
    </row>
    <row r="4" customFormat="false" ht="12.8" hidden="false" customHeight="false" outlineLevel="0" collapsed="false">
      <c r="A4" s="21" t="s">
        <v>8</v>
      </c>
      <c r="B4" s="22" t="s">
        <v>13</v>
      </c>
      <c r="C4" s="23" t="s">
        <v>15</v>
      </c>
      <c r="D4" s="23" t="s">
        <v>17</v>
      </c>
      <c r="E4" s="23" t="s">
        <v>19</v>
      </c>
      <c r="F4" s="23" t="s">
        <v>20</v>
      </c>
      <c r="G4" s="23" t="s">
        <v>21</v>
      </c>
      <c r="H4" s="24" t="s">
        <v>49</v>
      </c>
    </row>
    <row r="5" customFormat="false" ht="12.8" hidden="false" customHeight="false" outlineLevel="0" collapsed="false">
      <c r="A5" s="25" t="s">
        <v>12</v>
      </c>
      <c r="B5" s="26" t="n">
        <v>1899</v>
      </c>
      <c r="C5" s="27" t="n">
        <v>1518</v>
      </c>
      <c r="D5" s="27" t="n">
        <v>1871</v>
      </c>
      <c r="E5" s="27" t="n">
        <v>1657</v>
      </c>
      <c r="F5" s="27" t="n">
        <v>1730</v>
      </c>
      <c r="G5" s="28" t="n">
        <v>1062</v>
      </c>
      <c r="H5" s="29" t="n">
        <v>9737</v>
      </c>
    </row>
    <row r="6" customFormat="false" ht="12.8" hidden="false" customHeight="false" outlineLevel="0" collapsed="false">
      <c r="A6" s="30" t="s">
        <v>14</v>
      </c>
      <c r="B6" s="31" t="n">
        <v>1880</v>
      </c>
      <c r="C6" s="32" t="n">
        <v>1734</v>
      </c>
      <c r="D6" s="32" t="n">
        <v>2001</v>
      </c>
      <c r="E6" s="32" t="n">
        <v>1369</v>
      </c>
      <c r="F6" s="32" t="n">
        <v>1515</v>
      </c>
      <c r="G6" s="33" t="n">
        <v>1144</v>
      </c>
      <c r="H6" s="34" t="n">
        <v>9643</v>
      </c>
    </row>
    <row r="7" customFormat="false" ht="12.8" hidden="false" customHeight="false" outlineLevel="0" collapsed="false">
      <c r="A7" s="30" t="s">
        <v>16</v>
      </c>
      <c r="B7" s="35" t="n">
        <v>2107</v>
      </c>
      <c r="C7" s="36" t="n">
        <v>1825</v>
      </c>
      <c r="D7" s="36" t="n">
        <v>1695</v>
      </c>
      <c r="E7" s="36" t="n">
        <v>1593</v>
      </c>
      <c r="F7" s="36" t="n">
        <v>1322</v>
      </c>
      <c r="G7" s="37" t="n">
        <v>1462</v>
      </c>
      <c r="H7" s="38" t="n">
        <v>10004</v>
      </c>
    </row>
    <row r="8" customFormat="false" ht="12.8" hidden="false" customHeight="false" outlineLevel="0" collapsed="false">
      <c r="A8" s="39" t="s">
        <v>49</v>
      </c>
      <c r="B8" s="40" t="n">
        <v>5886</v>
      </c>
      <c r="C8" s="41" t="n">
        <v>5077</v>
      </c>
      <c r="D8" s="41" t="n">
        <v>5567</v>
      </c>
      <c r="E8" s="41" t="n">
        <v>4619</v>
      </c>
      <c r="F8" s="41" t="n">
        <v>4567</v>
      </c>
      <c r="G8" s="42" t="n">
        <v>3668</v>
      </c>
      <c r="H8" s="43" t="n">
        <v>29384</v>
      </c>
    </row>
    <row r="13" customFormat="false" ht="12.8" hidden="false" customHeight="false" outlineLevel="0" collapsed="false">
      <c r="A13" s="44" t="s">
        <v>50</v>
      </c>
      <c r="B13" s="18" t="s">
        <v>51</v>
      </c>
      <c r="C13" s="45"/>
      <c r="F13" s="44" t="s">
        <v>52</v>
      </c>
      <c r="G13" s="45" t="s">
        <v>47</v>
      </c>
    </row>
    <row r="14" customFormat="false" ht="12.8" hidden="false" customHeight="false" outlineLevel="0" collapsed="false">
      <c r="A14" s="25" t="s">
        <v>23</v>
      </c>
      <c r="B14" s="46" t="s">
        <v>47</v>
      </c>
      <c r="C14" s="47" t="n">
        <v>15565</v>
      </c>
      <c r="F14" s="25" t="s">
        <v>36</v>
      </c>
      <c r="G14" s="47" t="n">
        <v>3243</v>
      </c>
    </row>
    <row r="15" customFormat="false" ht="12.8" hidden="false" customHeight="false" outlineLevel="0" collapsed="false">
      <c r="A15" s="48"/>
      <c r="B15" s="49" t="s">
        <v>53</v>
      </c>
      <c r="C15" s="50" t="n">
        <v>148632300</v>
      </c>
      <c r="F15" s="30" t="s">
        <v>35</v>
      </c>
      <c r="G15" s="51" t="n">
        <v>3820</v>
      </c>
    </row>
    <row r="16" customFormat="false" ht="12.8" hidden="false" customHeight="false" outlineLevel="0" collapsed="false">
      <c r="A16" s="25" t="s">
        <v>24</v>
      </c>
      <c r="B16" s="46" t="s">
        <v>47</v>
      </c>
      <c r="C16" s="47" t="n">
        <v>1768</v>
      </c>
      <c r="F16" s="30" t="s">
        <v>34</v>
      </c>
      <c r="G16" s="51" t="n">
        <v>3975</v>
      </c>
    </row>
    <row r="17" customFormat="false" ht="12.8" hidden="false" customHeight="false" outlineLevel="0" collapsed="false">
      <c r="A17" s="48"/>
      <c r="B17" s="49" t="s">
        <v>53</v>
      </c>
      <c r="C17" s="50" t="n">
        <v>15404800</v>
      </c>
      <c r="F17" s="30" t="s">
        <v>38</v>
      </c>
      <c r="G17" s="51" t="n">
        <v>2678</v>
      </c>
    </row>
    <row r="18" customFormat="false" ht="12.8" hidden="false" customHeight="false" outlineLevel="0" collapsed="false">
      <c r="A18" s="25" t="s">
        <v>25</v>
      </c>
      <c r="B18" s="46" t="s">
        <v>47</v>
      </c>
      <c r="C18" s="47" t="n">
        <v>1761</v>
      </c>
      <c r="F18" s="30" t="s">
        <v>37</v>
      </c>
      <c r="G18" s="51" t="n">
        <v>2790</v>
      </c>
    </row>
    <row r="19" customFormat="false" ht="12.8" hidden="false" customHeight="false" outlineLevel="0" collapsed="false">
      <c r="A19" s="48"/>
      <c r="B19" s="49" t="s">
        <v>53</v>
      </c>
      <c r="C19" s="50" t="n">
        <v>16720800</v>
      </c>
      <c r="F19" s="30" t="s">
        <v>39</v>
      </c>
      <c r="G19" s="51" t="n">
        <v>2527</v>
      </c>
    </row>
    <row r="20" customFormat="false" ht="12.8" hidden="false" customHeight="false" outlineLevel="0" collapsed="false">
      <c r="A20" s="25" t="s">
        <v>27</v>
      </c>
      <c r="B20" s="46" t="s">
        <v>47</v>
      </c>
      <c r="C20" s="47" t="n">
        <v>1509</v>
      </c>
      <c r="F20" s="30" t="s">
        <v>42</v>
      </c>
      <c r="G20" s="51" t="n">
        <v>1881</v>
      </c>
    </row>
    <row r="21" customFormat="false" ht="12.8" hidden="false" customHeight="false" outlineLevel="0" collapsed="false">
      <c r="A21" s="48"/>
      <c r="B21" s="49" t="s">
        <v>53</v>
      </c>
      <c r="C21" s="50" t="n">
        <v>15452300</v>
      </c>
      <c r="F21" s="30" t="s">
        <v>41</v>
      </c>
      <c r="G21" s="51" t="n">
        <v>2166</v>
      </c>
    </row>
    <row r="22" customFormat="false" ht="12.8" hidden="false" customHeight="false" outlineLevel="0" collapsed="false">
      <c r="A22" s="25" t="s">
        <v>32</v>
      </c>
      <c r="B22" s="46" t="s">
        <v>47</v>
      </c>
      <c r="C22" s="47" t="n">
        <v>1294</v>
      </c>
      <c r="F22" s="30" t="s">
        <v>40</v>
      </c>
      <c r="G22" s="51" t="n">
        <v>2313</v>
      </c>
    </row>
    <row r="23" customFormat="false" ht="12.8" hidden="false" customHeight="false" outlineLevel="0" collapsed="false">
      <c r="A23" s="48"/>
      <c r="B23" s="49" t="s">
        <v>53</v>
      </c>
      <c r="C23" s="50" t="n">
        <v>10495900</v>
      </c>
      <c r="F23" s="30" t="s">
        <v>44</v>
      </c>
      <c r="G23" s="51" t="n">
        <v>1325</v>
      </c>
    </row>
    <row r="24" customFormat="false" ht="12.8" hidden="false" customHeight="false" outlineLevel="0" collapsed="false">
      <c r="A24" s="25" t="s">
        <v>31</v>
      </c>
      <c r="B24" s="46" t="s">
        <v>47</v>
      </c>
      <c r="C24" s="47" t="n">
        <v>1402</v>
      </c>
      <c r="F24" s="30" t="s">
        <v>43</v>
      </c>
      <c r="G24" s="51" t="n">
        <v>1591</v>
      </c>
    </row>
    <row r="25" customFormat="false" ht="12.8" hidden="false" customHeight="false" outlineLevel="0" collapsed="false">
      <c r="A25" s="48"/>
      <c r="B25" s="49" t="s">
        <v>53</v>
      </c>
      <c r="C25" s="50" t="n">
        <v>13131100</v>
      </c>
      <c r="F25" s="30" t="s">
        <v>45</v>
      </c>
      <c r="G25" s="50" t="n">
        <v>1075</v>
      </c>
    </row>
    <row r="26" customFormat="false" ht="12.8" hidden="false" customHeight="false" outlineLevel="0" collapsed="false">
      <c r="A26" s="25" t="s">
        <v>30</v>
      </c>
      <c r="B26" s="46" t="s">
        <v>47</v>
      </c>
      <c r="C26" s="47" t="n">
        <v>1442</v>
      </c>
      <c r="F26" s="39" t="s">
        <v>49</v>
      </c>
      <c r="G26" s="43" t="n">
        <v>29384</v>
      </c>
    </row>
    <row r="27" customFormat="false" ht="12.8" hidden="false" customHeight="false" outlineLevel="0" collapsed="false">
      <c r="A27" s="48"/>
      <c r="B27" s="49" t="s">
        <v>53</v>
      </c>
      <c r="C27" s="50" t="n">
        <v>12976200</v>
      </c>
    </row>
    <row r="28" customFormat="false" ht="12.8" hidden="false" customHeight="false" outlineLevel="0" collapsed="false">
      <c r="A28" s="25" t="s">
        <v>29</v>
      </c>
      <c r="B28" s="46" t="s">
        <v>47</v>
      </c>
      <c r="C28" s="47" t="n">
        <v>1443</v>
      </c>
    </row>
    <row r="29" customFormat="false" ht="12.8" hidden="false" customHeight="false" outlineLevel="0" collapsed="false">
      <c r="A29" s="48"/>
      <c r="B29" s="49" t="s">
        <v>53</v>
      </c>
      <c r="C29" s="50" t="n">
        <v>15448400</v>
      </c>
    </row>
    <row r="30" customFormat="false" ht="12.8" hidden="false" customHeight="false" outlineLevel="0" collapsed="false">
      <c r="A30" s="25" t="s">
        <v>26</v>
      </c>
      <c r="B30" s="46" t="s">
        <v>47</v>
      </c>
      <c r="C30" s="47" t="n">
        <v>1739</v>
      </c>
    </row>
    <row r="31" customFormat="false" ht="12.8" hidden="false" customHeight="false" outlineLevel="0" collapsed="false">
      <c r="A31" s="48"/>
      <c r="B31" s="49" t="s">
        <v>53</v>
      </c>
      <c r="C31" s="50" t="n">
        <v>16307500</v>
      </c>
    </row>
    <row r="32" customFormat="false" ht="12.8" hidden="false" customHeight="false" outlineLevel="0" collapsed="false">
      <c r="A32" s="25" t="s">
        <v>28</v>
      </c>
      <c r="B32" s="46" t="s">
        <v>47</v>
      </c>
      <c r="C32" s="47" t="n">
        <v>1461</v>
      </c>
    </row>
    <row r="33" customFormat="false" ht="12.8" hidden="false" customHeight="false" outlineLevel="0" collapsed="false">
      <c r="A33" s="48"/>
      <c r="B33" s="49" t="s">
        <v>53</v>
      </c>
      <c r="C33" s="50" t="n">
        <v>14625100</v>
      </c>
    </row>
    <row r="34" customFormat="false" ht="12.8" hidden="false" customHeight="false" outlineLevel="0" collapsed="false">
      <c r="A34" s="52" t="s">
        <v>54</v>
      </c>
      <c r="B34" s="53"/>
      <c r="C34" s="54" t="n">
        <v>29384</v>
      </c>
    </row>
    <row r="35" customFormat="false" ht="12.8" hidden="false" customHeight="false" outlineLevel="0" collapsed="false">
      <c r="A35" s="55" t="s">
        <v>55</v>
      </c>
      <c r="B35" s="56"/>
      <c r="C35" s="43" t="n">
        <v>279194400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28"/>
    <col collapsed="false" customWidth="true" hidden="false" outlineLevel="0" max="2" min="2" style="0" width="15.32"/>
    <col collapsed="false" customWidth="true" hidden="false" outlineLevel="0" max="3" min="3" style="0" width="11.24"/>
    <col collapsed="false" customWidth="true" hidden="false" outlineLevel="0" max="4" min="4" style="0" width="13.28"/>
    <col collapsed="false" customWidth="true" hidden="false" outlineLevel="0" max="5" min="5" style="0" width="23.49"/>
    <col collapsed="false" customWidth="true" hidden="false" outlineLevel="0" max="6" min="6" style="0" width="14.3"/>
    <col collapsed="false" customWidth="true" hidden="false" outlineLevel="0" max="7" min="7" style="0" width="23.49"/>
    <col collapsed="false" customWidth="true" hidden="false" outlineLevel="0" max="8" min="8" style="0" width="9.19"/>
    <col collapsed="false" customWidth="true" hidden="false" outlineLevel="0" max="9" min="9" style="0" width="15.32"/>
    <col collapsed="false" customWidth="true" hidden="false" outlineLevel="0" max="10" min="10" style="0" width="11.24"/>
    <col collapsed="false" customWidth="true" hidden="false" outlineLevel="0" max="11" min="11" style="0" width="18.39"/>
  </cols>
  <sheetData>
    <row r="1" customFormat="false" ht="12.8" hidden="false" customHeight="false" outlineLevel="0" collapsed="false">
      <c r="A1" s="9" t="s">
        <v>56</v>
      </c>
      <c r="B1" s="9" t="s">
        <v>57</v>
      </c>
      <c r="C1" s="9" t="s">
        <v>48</v>
      </c>
      <c r="D1" s="9" t="s">
        <v>58</v>
      </c>
      <c r="E1" s="9" t="s">
        <v>52</v>
      </c>
      <c r="F1" s="9" t="s">
        <v>59</v>
      </c>
      <c r="G1" s="9" t="s">
        <v>50</v>
      </c>
      <c r="H1" s="9" t="s">
        <v>60</v>
      </c>
      <c r="I1" s="9" t="s">
        <v>61</v>
      </c>
      <c r="J1" s="9" t="s">
        <v>8</v>
      </c>
      <c r="K1" s="9" t="s">
        <v>62</v>
      </c>
    </row>
    <row r="2" customFormat="false" ht="12.8" hidden="false" customHeight="false" outlineLevel="0" collapsed="false">
      <c r="A2" s="57" t="n">
        <v>46204</v>
      </c>
      <c r="B2" s="0" t="s">
        <v>63</v>
      </c>
      <c r="C2" s="0" t="s">
        <v>13</v>
      </c>
      <c r="D2" s="0" t="s">
        <v>64</v>
      </c>
      <c r="E2" s="58" t="str">
        <f aca="false">VLOOKUP(D2,Models!$A$2:$B$13,2,0)</f>
        <v>32-inch Smart TV</v>
      </c>
      <c r="F2" s="0" t="s">
        <v>65</v>
      </c>
      <c r="G2" s="58" t="str">
        <f aca="false">VLOOKUP(F2,Countries!$A$2:$B$11,2,0)</f>
        <v>Jordan</v>
      </c>
      <c r="H2" s="13" t="n">
        <v>48</v>
      </c>
      <c r="I2" s="13" t="n">
        <v>220800</v>
      </c>
      <c r="J2" s="0" t="s">
        <v>12</v>
      </c>
      <c r="K2" s="0" t="s">
        <v>66</v>
      </c>
    </row>
    <row r="3" customFormat="false" ht="12.8" hidden="false" customHeight="false" outlineLevel="0" collapsed="false">
      <c r="A3" s="57" t="n">
        <v>46204</v>
      </c>
      <c r="B3" s="0" t="s">
        <v>67</v>
      </c>
      <c r="C3" s="0" t="s">
        <v>13</v>
      </c>
      <c r="D3" s="0" t="s">
        <v>68</v>
      </c>
      <c r="E3" s="58" t="str">
        <f aca="false">VLOOKUP(D3,Models!$A$2:$B$13,2,0)</f>
        <v>50-inch 4K TV</v>
      </c>
      <c r="F3" s="0" t="s">
        <v>69</v>
      </c>
      <c r="G3" s="58" t="str">
        <f aca="false">VLOOKUP(F3,Countries!$A$2:$B$11,2,0)</f>
        <v>Egypt</v>
      </c>
      <c r="H3" s="13" t="n">
        <v>5</v>
      </c>
      <c r="I3" s="13" t="n">
        <v>52000</v>
      </c>
      <c r="J3" s="0" t="s">
        <v>12</v>
      </c>
      <c r="K3" s="0" t="s">
        <v>66</v>
      </c>
    </row>
    <row r="4" customFormat="false" ht="12.8" hidden="false" customHeight="false" outlineLevel="0" collapsed="false">
      <c r="A4" s="57" t="n">
        <v>46204</v>
      </c>
      <c r="B4" s="0" t="s">
        <v>70</v>
      </c>
      <c r="C4" s="0" t="s">
        <v>13</v>
      </c>
      <c r="D4" s="0" t="s">
        <v>71</v>
      </c>
      <c r="E4" s="58" t="str">
        <f aca="false">VLOOKUP(D4,Models!$A$2:$B$13,2,0)</f>
        <v>43-inch Full HD TV</v>
      </c>
      <c r="F4" s="0" t="s">
        <v>72</v>
      </c>
      <c r="G4" s="58" t="str">
        <f aca="false">VLOOKUP(F4,Countries!$A$2:$B$11,2,0)</f>
        <v>Kenya</v>
      </c>
      <c r="H4" s="13" t="n">
        <v>21</v>
      </c>
      <c r="I4" s="13" t="n">
        <v>144900</v>
      </c>
      <c r="J4" s="0" t="s">
        <v>12</v>
      </c>
      <c r="K4" s="0" t="s">
        <v>66</v>
      </c>
    </row>
    <row r="5" customFormat="false" ht="12.8" hidden="false" customHeight="false" outlineLevel="0" collapsed="false">
      <c r="A5" s="57" t="n">
        <v>46204</v>
      </c>
      <c r="B5" s="0" t="s">
        <v>73</v>
      </c>
      <c r="C5" s="0" t="s">
        <v>13</v>
      </c>
      <c r="D5" s="0" t="s">
        <v>74</v>
      </c>
      <c r="E5" s="58" t="str">
        <f aca="false">VLOOKUP(D5,Models!$A$2:$B$13,2,0)</f>
        <v>40-inch Full HD TV</v>
      </c>
      <c r="F5" s="0" t="s">
        <v>75</v>
      </c>
      <c r="G5" s="58" t="str">
        <f aca="false">VLOOKUP(F5,Countries!$A$2:$B$11,2,0)</f>
        <v>Nigeria</v>
      </c>
      <c r="H5" s="13" t="n">
        <v>12</v>
      </c>
      <c r="I5" s="13" t="n">
        <v>74400</v>
      </c>
      <c r="J5" s="0" t="s">
        <v>12</v>
      </c>
      <c r="K5" s="0" t="s">
        <v>66</v>
      </c>
    </row>
    <row r="6" customFormat="false" ht="12.8" hidden="false" customHeight="false" outlineLevel="0" collapsed="false">
      <c r="A6" s="57" t="n">
        <v>46204</v>
      </c>
      <c r="B6" s="0" t="s">
        <v>76</v>
      </c>
      <c r="C6" s="0" t="s">
        <v>13</v>
      </c>
      <c r="D6" s="0" t="s">
        <v>77</v>
      </c>
      <c r="E6" s="58" t="str">
        <f aca="false">VLOOKUP(D6,Models!$A$2:$B$13,2,0)</f>
        <v>65-inch QLED TV</v>
      </c>
      <c r="F6" s="0" t="s">
        <v>69</v>
      </c>
      <c r="G6" s="58" t="str">
        <f aca="false">VLOOKUP(F6,Countries!$A$2:$B$11,2,0)</f>
        <v>Egypt</v>
      </c>
      <c r="H6" s="13" t="n">
        <v>13</v>
      </c>
      <c r="I6" s="13" t="n">
        <v>318500</v>
      </c>
      <c r="J6" s="0" t="s">
        <v>12</v>
      </c>
      <c r="K6" s="0" t="s">
        <v>66</v>
      </c>
    </row>
    <row r="7" customFormat="false" ht="12.8" hidden="false" customHeight="false" outlineLevel="0" collapsed="false">
      <c r="A7" s="57" t="n">
        <v>46204</v>
      </c>
      <c r="B7" s="0" t="s">
        <v>78</v>
      </c>
      <c r="C7" s="0" t="s">
        <v>15</v>
      </c>
      <c r="D7" s="0" t="s">
        <v>74</v>
      </c>
      <c r="E7" s="58" t="str">
        <f aca="false">VLOOKUP(D7,Models!$A$2:$B$13,2,0)</f>
        <v>40-inch Full HD TV</v>
      </c>
      <c r="F7" s="0" t="s">
        <v>79</v>
      </c>
      <c r="G7" s="58" t="str">
        <f aca="false">VLOOKUP(F7,Countries!$A$2:$B$11,2,0)</f>
        <v>Iraq</v>
      </c>
      <c r="H7" s="13" t="n">
        <v>23</v>
      </c>
      <c r="I7" s="13" t="n">
        <v>142600</v>
      </c>
      <c r="J7" s="0" t="s">
        <v>12</v>
      </c>
      <c r="K7" s="0" t="s">
        <v>66</v>
      </c>
    </row>
    <row r="8" customFormat="false" ht="12.8" hidden="false" customHeight="false" outlineLevel="0" collapsed="false">
      <c r="A8" s="57" t="n">
        <v>46204</v>
      </c>
      <c r="B8" s="0" t="s">
        <v>80</v>
      </c>
      <c r="C8" s="0" t="s">
        <v>15</v>
      </c>
      <c r="D8" s="0" t="s">
        <v>81</v>
      </c>
      <c r="E8" s="58" t="str">
        <f aca="false">VLOOKUP(D8,Models!$A$2:$B$13,2,0)</f>
        <v>43-inch Smart TV</v>
      </c>
      <c r="F8" s="0" t="s">
        <v>69</v>
      </c>
      <c r="G8" s="58" t="str">
        <f aca="false">VLOOKUP(F8,Countries!$A$2:$B$11,2,0)</f>
        <v>Egypt</v>
      </c>
      <c r="H8" s="13" t="n">
        <v>22</v>
      </c>
      <c r="I8" s="13" t="n">
        <v>171600</v>
      </c>
      <c r="J8" s="0" t="s">
        <v>12</v>
      </c>
      <c r="K8" s="0" t="s">
        <v>66</v>
      </c>
    </row>
    <row r="9" customFormat="false" ht="12.8" hidden="false" customHeight="false" outlineLevel="0" collapsed="false">
      <c r="A9" s="57" t="n">
        <v>46204</v>
      </c>
      <c r="B9" s="0" t="s">
        <v>82</v>
      </c>
      <c r="C9" s="0" t="s">
        <v>15</v>
      </c>
      <c r="D9" s="0" t="s">
        <v>64</v>
      </c>
      <c r="E9" s="58" t="str">
        <f aca="false">VLOOKUP(D9,Models!$A$2:$B$13,2,0)</f>
        <v>32-inch Smart TV</v>
      </c>
      <c r="F9" s="0" t="s">
        <v>83</v>
      </c>
      <c r="G9" s="58" t="str">
        <f aca="false">VLOOKUP(F9,Countries!$A$2:$B$11,2,0)</f>
        <v>United Arab Emirates</v>
      </c>
      <c r="H9" s="13" t="n">
        <v>13</v>
      </c>
      <c r="I9" s="13" t="n">
        <v>59800</v>
      </c>
      <c r="J9" s="0" t="s">
        <v>12</v>
      </c>
      <c r="K9" s="0" t="s">
        <v>66</v>
      </c>
    </row>
    <row r="10" customFormat="false" ht="12.8" hidden="false" customHeight="false" outlineLevel="0" collapsed="false">
      <c r="A10" s="57" t="n">
        <v>46204</v>
      </c>
      <c r="B10" s="0" t="s">
        <v>84</v>
      </c>
      <c r="C10" s="0" t="s">
        <v>17</v>
      </c>
      <c r="D10" s="0" t="s">
        <v>85</v>
      </c>
      <c r="E10" s="58" t="str">
        <f aca="false">VLOOKUP(D10,Models!$A$2:$B$13,2,0)</f>
        <v>75-inch 4K TV</v>
      </c>
      <c r="F10" s="0" t="s">
        <v>75</v>
      </c>
      <c r="G10" s="58" t="str">
        <f aca="false">VLOOKUP(F10,Countries!$A$2:$B$11,2,0)</f>
        <v>Nigeria</v>
      </c>
      <c r="H10" s="13" t="n">
        <v>8</v>
      </c>
      <c r="I10" s="13" t="n">
        <v>249600</v>
      </c>
      <c r="J10" s="0" t="s">
        <v>12</v>
      </c>
      <c r="K10" s="0" t="s">
        <v>66</v>
      </c>
    </row>
    <row r="11" customFormat="false" ht="12.8" hidden="false" customHeight="false" outlineLevel="0" collapsed="false">
      <c r="A11" s="57" t="n">
        <v>46204</v>
      </c>
      <c r="B11" s="0" t="s">
        <v>86</v>
      </c>
      <c r="C11" s="0" t="s">
        <v>17</v>
      </c>
      <c r="D11" s="0" t="s">
        <v>64</v>
      </c>
      <c r="E11" s="58" t="str">
        <f aca="false">VLOOKUP(D11,Models!$A$2:$B$13,2,0)</f>
        <v>32-inch Smart TV</v>
      </c>
      <c r="F11" s="0" t="s">
        <v>79</v>
      </c>
      <c r="G11" s="58" t="str">
        <f aca="false">VLOOKUP(F11,Countries!$A$2:$B$11,2,0)</f>
        <v>Iraq</v>
      </c>
      <c r="H11" s="13" t="n">
        <v>61</v>
      </c>
      <c r="I11" s="13" t="n">
        <v>280600</v>
      </c>
      <c r="J11" s="0" t="s">
        <v>12</v>
      </c>
      <c r="K11" s="0" t="s">
        <v>66</v>
      </c>
    </row>
    <row r="12" customFormat="false" ht="12.8" hidden="false" customHeight="false" outlineLevel="0" collapsed="false">
      <c r="A12" s="57" t="n">
        <v>46204</v>
      </c>
      <c r="B12" s="0" t="s">
        <v>87</v>
      </c>
      <c r="C12" s="0" t="s">
        <v>17</v>
      </c>
      <c r="D12" s="0" t="s">
        <v>88</v>
      </c>
      <c r="E12" s="58" t="str">
        <f aca="false">VLOOKUP(D12,Models!$A$2:$B$13,2,0)</f>
        <v>24-inch HD TV</v>
      </c>
      <c r="F12" s="0" t="s">
        <v>69</v>
      </c>
      <c r="G12" s="58" t="str">
        <f aca="false">VLOOKUP(F12,Countries!$A$2:$B$11,2,0)</f>
        <v>Egypt</v>
      </c>
      <c r="H12" s="13" t="n">
        <v>13</v>
      </c>
      <c r="I12" s="13" t="n">
        <v>37700</v>
      </c>
      <c r="J12" s="0" t="s">
        <v>12</v>
      </c>
      <c r="K12" s="0" t="s">
        <v>66</v>
      </c>
    </row>
    <row r="13" customFormat="false" ht="12.8" hidden="false" customHeight="false" outlineLevel="0" collapsed="false">
      <c r="A13" s="57" t="n">
        <v>46204</v>
      </c>
      <c r="B13" s="0" t="s">
        <v>89</v>
      </c>
      <c r="C13" s="0" t="s">
        <v>17</v>
      </c>
      <c r="D13" s="0" t="s">
        <v>90</v>
      </c>
      <c r="E13" s="58" t="str">
        <f aca="false">VLOOKUP(D13,Models!$A$2:$B$13,2,0)</f>
        <v>55-inch 4K TV</v>
      </c>
      <c r="F13" s="0" t="s">
        <v>75</v>
      </c>
      <c r="G13" s="58" t="str">
        <f aca="false">VLOOKUP(F13,Countries!$A$2:$B$11,2,0)</f>
        <v>Nigeria</v>
      </c>
      <c r="H13" s="13" t="n">
        <v>32</v>
      </c>
      <c r="I13" s="13" t="n">
        <v>393600</v>
      </c>
      <c r="J13" s="0" t="s">
        <v>12</v>
      </c>
      <c r="K13" s="0" t="s">
        <v>66</v>
      </c>
    </row>
    <row r="14" customFormat="false" ht="12.8" hidden="false" customHeight="false" outlineLevel="0" collapsed="false">
      <c r="A14" s="57" t="n">
        <v>46204</v>
      </c>
      <c r="B14" s="0" t="s">
        <v>91</v>
      </c>
      <c r="C14" s="0" t="s">
        <v>17</v>
      </c>
      <c r="D14" s="0" t="s">
        <v>92</v>
      </c>
      <c r="E14" s="58" t="str">
        <f aca="false">VLOOKUP(D14,Models!$A$2:$B$13,2,0)</f>
        <v>65-inch 4K TV</v>
      </c>
      <c r="F14" s="0" t="s">
        <v>75</v>
      </c>
      <c r="G14" s="58" t="str">
        <f aca="false">VLOOKUP(F14,Countries!$A$2:$B$11,2,0)</f>
        <v>Nigeria</v>
      </c>
      <c r="H14" s="13" t="n">
        <v>8</v>
      </c>
      <c r="I14" s="13" t="n">
        <v>158400</v>
      </c>
      <c r="J14" s="0" t="s">
        <v>12</v>
      </c>
      <c r="K14" s="0" t="s">
        <v>66</v>
      </c>
    </row>
    <row r="15" customFormat="false" ht="12.8" hidden="false" customHeight="false" outlineLevel="0" collapsed="false">
      <c r="A15" s="57" t="n">
        <v>46204</v>
      </c>
      <c r="B15" s="0" t="s">
        <v>93</v>
      </c>
      <c r="C15" s="0" t="s">
        <v>19</v>
      </c>
      <c r="D15" s="0" t="s">
        <v>88</v>
      </c>
      <c r="E15" s="58" t="str">
        <f aca="false">VLOOKUP(D15,Models!$A$2:$B$13,2,0)</f>
        <v>24-inch HD TV</v>
      </c>
      <c r="F15" s="0" t="s">
        <v>69</v>
      </c>
      <c r="G15" s="58" t="str">
        <f aca="false">VLOOKUP(F15,Countries!$A$2:$B$11,2,0)</f>
        <v>Egypt</v>
      </c>
      <c r="H15" s="13" t="n">
        <v>59</v>
      </c>
      <c r="I15" s="13" t="n">
        <v>171100</v>
      </c>
      <c r="J15" s="0" t="s">
        <v>12</v>
      </c>
      <c r="K15" s="0" t="s">
        <v>66</v>
      </c>
    </row>
    <row r="16" customFormat="false" ht="12.8" hidden="false" customHeight="false" outlineLevel="0" collapsed="false">
      <c r="A16" s="57" t="n">
        <v>46204</v>
      </c>
      <c r="B16" s="0" t="s">
        <v>94</v>
      </c>
      <c r="C16" s="0" t="s">
        <v>20</v>
      </c>
      <c r="D16" s="0" t="s">
        <v>95</v>
      </c>
      <c r="E16" s="58" t="str">
        <f aca="false">VLOOKUP(D16,Models!$A$2:$B$13,2,0)</f>
        <v>32-inch HD TV</v>
      </c>
      <c r="F16" s="0" t="s">
        <v>69</v>
      </c>
      <c r="G16" s="58" t="str">
        <f aca="false">VLOOKUP(F16,Countries!$A$2:$B$11,2,0)</f>
        <v>Egypt</v>
      </c>
      <c r="H16" s="13" t="n">
        <v>31</v>
      </c>
      <c r="I16" s="13" t="n">
        <v>120900</v>
      </c>
      <c r="J16" s="0" t="s">
        <v>12</v>
      </c>
      <c r="K16" s="0" t="s">
        <v>66</v>
      </c>
    </row>
    <row r="17" customFormat="false" ht="12.8" hidden="false" customHeight="false" outlineLevel="0" collapsed="false">
      <c r="A17" s="57" t="n">
        <v>46204</v>
      </c>
      <c r="B17" s="0" t="s">
        <v>96</v>
      </c>
      <c r="C17" s="0" t="s">
        <v>21</v>
      </c>
      <c r="D17" s="0" t="s">
        <v>95</v>
      </c>
      <c r="E17" s="58" t="str">
        <f aca="false">VLOOKUP(D17,Models!$A$2:$B$13,2,0)</f>
        <v>32-inch HD TV</v>
      </c>
      <c r="F17" s="0" t="s">
        <v>69</v>
      </c>
      <c r="G17" s="58" t="str">
        <f aca="false">VLOOKUP(F17,Countries!$A$2:$B$11,2,0)</f>
        <v>Egypt</v>
      </c>
      <c r="H17" s="13" t="n">
        <v>21</v>
      </c>
      <c r="I17" s="13" t="n">
        <v>81900</v>
      </c>
      <c r="J17" s="0" t="s">
        <v>12</v>
      </c>
      <c r="K17" s="0" t="s">
        <v>66</v>
      </c>
    </row>
    <row r="18" customFormat="false" ht="12.8" hidden="false" customHeight="false" outlineLevel="0" collapsed="false">
      <c r="A18" s="57" t="n">
        <v>46204</v>
      </c>
      <c r="B18" s="0" t="s">
        <v>97</v>
      </c>
      <c r="C18" s="0" t="s">
        <v>21</v>
      </c>
      <c r="D18" s="0" t="s">
        <v>77</v>
      </c>
      <c r="E18" s="58" t="str">
        <f aca="false">VLOOKUP(D18,Models!$A$2:$B$13,2,0)</f>
        <v>65-inch QLED TV</v>
      </c>
      <c r="F18" s="0" t="s">
        <v>98</v>
      </c>
      <c r="G18" s="58" t="str">
        <f aca="false">VLOOKUP(F18,Countries!$A$2:$B$11,2,0)</f>
        <v>Libya</v>
      </c>
      <c r="H18" s="13" t="n">
        <v>19</v>
      </c>
      <c r="I18" s="13" t="n">
        <v>465500</v>
      </c>
      <c r="J18" s="0" t="s">
        <v>12</v>
      </c>
      <c r="K18" s="0" t="s">
        <v>66</v>
      </c>
    </row>
    <row r="19" customFormat="false" ht="12.8" hidden="false" customHeight="false" outlineLevel="0" collapsed="false">
      <c r="A19" s="57" t="n">
        <v>46205</v>
      </c>
      <c r="B19" s="0" t="s">
        <v>99</v>
      </c>
      <c r="C19" s="0" t="s">
        <v>13</v>
      </c>
      <c r="D19" s="0" t="s">
        <v>95</v>
      </c>
      <c r="E19" s="58" t="str">
        <f aca="false">VLOOKUP(D19,Models!$A$2:$B$13,2,0)</f>
        <v>32-inch HD TV</v>
      </c>
      <c r="F19" s="0" t="s">
        <v>79</v>
      </c>
      <c r="G19" s="58" t="str">
        <f aca="false">VLOOKUP(F19,Countries!$A$2:$B$11,2,0)</f>
        <v>Iraq</v>
      </c>
      <c r="H19" s="13" t="n">
        <v>25</v>
      </c>
      <c r="I19" s="13" t="n">
        <v>97500</v>
      </c>
      <c r="J19" s="0" t="s">
        <v>12</v>
      </c>
      <c r="K19" s="0" t="s">
        <v>66</v>
      </c>
    </row>
    <row r="20" customFormat="false" ht="12.8" hidden="false" customHeight="false" outlineLevel="0" collapsed="false">
      <c r="A20" s="57" t="n">
        <v>46205</v>
      </c>
      <c r="B20" s="0" t="s">
        <v>100</v>
      </c>
      <c r="C20" s="0" t="s">
        <v>13</v>
      </c>
      <c r="D20" s="0" t="s">
        <v>64</v>
      </c>
      <c r="E20" s="58" t="str">
        <f aca="false">VLOOKUP(D20,Models!$A$2:$B$13,2,0)</f>
        <v>32-inch Smart TV</v>
      </c>
      <c r="F20" s="0" t="s">
        <v>101</v>
      </c>
      <c r="G20" s="58" t="str">
        <f aca="false">VLOOKUP(F20,Countries!$A$2:$B$11,2,0)</f>
        <v>Kuwait</v>
      </c>
      <c r="H20" s="13" t="n">
        <v>21</v>
      </c>
      <c r="I20" s="13" t="n">
        <v>96600</v>
      </c>
      <c r="J20" s="0" t="s">
        <v>12</v>
      </c>
      <c r="K20" s="0" t="s">
        <v>66</v>
      </c>
    </row>
    <row r="21" customFormat="false" ht="12.8" hidden="false" customHeight="false" outlineLevel="0" collapsed="false">
      <c r="A21" s="57" t="n">
        <v>46205</v>
      </c>
      <c r="B21" s="0" t="s">
        <v>102</v>
      </c>
      <c r="C21" s="0" t="s">
        <v>15</v>
      </c>
      <c r="D21" s="0" t="s">
        <v>81</v>
      </c>
      <c r="E21" s="58" t="str">
        <f aca="false">VLOOKUP(D21,Models!$A$2:$B$13,2,0)</f>
        <v>43-inch Smart TV</v>
      </c>
      <c r="F21" s="0" t="s">
        <v>103</v>
      </c>
      <c r="G21" s="58" t="str">
        <f aca="false">VLOOKUP(F21,Countries!$A$2:$B$11,2,0)</f>
        <v>Morocco</v>
      </c>
      <c r="H21" s="13" t="n">
        <v>46</v>
      </c>
      <c r="I21" s="13" t="n">
        <v>358800</v>
      </c>
      <c r="J21" s="0" t="s">
        <v>12</v>
      </c>
      <c r="K21" s="0" t="s">
        <v>66</v>
      </c>
    </row>
    <row r="22" customFormat="false" ht="12.8" hidden="false" customHeight="false" outlineLevel="0" collapsed="false">
      <c r="A22" s="57" t="n">
        <v>46205</v>
      </c>
      <c r="B22" s="0" t="s">
        <v>104</v>
      </c>
      <c r="C22" s="0" t="s">
        <v>15</v>
      </c>
      <c r="D22" s="0" t="s">
        <v>95</v>
      </c>
      <c r="E22" s="58" t="str">
        <f aca="false">VLOOKUP(D22,Models!$A$2:$B$13,2,0)</f>
        <v>32-inch HD TV</v>
      </c>
      <c r="F22" s="0" t="s">
        <v>69</v>
      </c>
      <c r="G22" s="58" t="str">
        <f aca="false">VLOOKUP(F22,Countries!$A$2:$B$11,2,0)</f>
        <v>Egypt</v>
      </c>
      <c r="H22" s="13" t="n">
        <v>33</v>
      </c>
      <c r="I22" s="13" t="n">
        <v>128700</v>
      </c>
      <c r="J22" s="0" t="s">
        <v>12</v>
      </c>
      <c r="K22" s="0" t="s">
        <v>66</v>
      </c>
    </row>
    <row r="23" customFormat="false" ht="12.8" hidden="false" customHeight="false" outlineLevel="0" collapsed="false">
      <c r="A23" s="57" t="n">
        <v>46205</v>
      </c>
      <c r="B23" s="0" t="s">
        <v>105</v>
      </c>
      <c r="C23" s="0" t="s">
        <v>17</v>
      </c>
      <c r="D23" s="0" t="s">
        <v>81</v>
      </c>
      <c r="E23" s="58" t="str">
        <f aca="false">VLOOKUP(D23,Models!$A$2:$B$13,2,0)</f>
        <v>43-inch Smart TV</v>
      </c>
      <c r="F23" s="0" t="s">
        <v>69</v>
      </c>
      <c r="G23" s="58" t="str">
        <f aca="false">VLOOKUP(F23,Countries!$A$2:$B$11,2,0)</f>
        <v>Egypt</v>
      </c>
      <c r="H23" s="13" t="n">
        <v>17</v>
      </c>
      <c r="I23" s="13" t="n">
        <v>132600</v>
      </c>
      <c r="J23" s="0" t="s">
        <v>12</v>
      </c>
      <c r="K23" s="0" t="s">
        <v>66</v>
      </c>
    </row>
    <row r="24" customFormat="false" ht="12.8" hidden="false" customHeight="false" outlineLevel="0" collapsed="false">
      <c r="A24" s="57" t="n">
        <v>46205</v>
      </c>
      <c r="B24" s="0" t="s">
        <v>106</v>
      </c>
      <c r="C24" s="0" t="s">
        <v>17</v>
      </c>
      <c r="D24" s="0" t="s">
        <v>92</v>
      </c>
      <c r="E24" s="58" t="str">
        <f aca="false">VLOOKUP(D24,Models!$A$2:$B$13,2,0)</f>
        <v>65-inch 4K TV</v>
      </c>
      <c r="F24" s="0" t="s">
        <v>65</v>
      </c>
      <c r="G24" s="58" t="str">
        <f aca="false">VLOOKUP(F24,Countries!$A$2:$B$11,2,0)</f>
        <v>Jordan</v>
      </c>
      <c r="H24" s="13" t="n">
        <v>8</v>
      </c>
      <c r="I24" s="13" t="n">
        <v>158400</v>
      </c>
      <c r="J24" s="0" t="s">
        <v>12</v>
      </c>
      <c r="K24" s="0" t="s">
        <v>66</v>
      </c>
    </row>
    <row r="25" customFormat="false" ht="12.8" hidden="false" customHeight="false" outlineLevel="0" collapsed="false">
      <c r="A25" s="57" t="n">
        <v>46205</v>
      </c>
      <c r="B25" s="0" t="s">
        <v>107</v>
      </c>
      <c r="C25" s="0" t="s">
        <v>19</v>
      </c>
      <c r="D25" s="0" t="s">
        <v>88</v>
      </c>
      <c r="E25" s="58" t="str">
        <f aca="false">VLOOKUP(D25,Models!$A$2:$B$13,2,0)</f>
        <v>24-inch HD TV</v>
      </c>
      <c r="F25" s="0" t="s">
        <v>69</v>
      </c>
      <c r="G25" s="58" t="str">
        <f aca="false">VLOOKUP(F25,Countries!$A$2:$B$11,2,0)</f>
        <v>Egypt</v>
      </c>
      <c r="H25" s="13" t="n">
        <v>5</v>
      </c>
      <c r="I25" s="13" t="n">
        <v>14500</v>
      </c>
      <c r="J25" s="0" t="s">
        <v>12</v>
      </c>
      <c r="K25" s="0" t="s">
        <v>66</v>
      </c>
    </row>
    <row r="26" customFormat="false" ht="12.8" hidden="false" customHeight="false" outlineLevel="0" collapsed="false">
      <c r="A26" s="57" t="n">
        <v>46205</v>
      </c>
      <c r="B26" s="0" t="s">
        <v>108</v>
      </c>
      <c r="C26" s="0" t="s">
        <v>19</v>
      </c>
      <c r="D26" s="0" t="s">
        <v>109</v>
      </c>
      <c r="E26" s="58" t="str">
        <f aca="false">VLOOKUP(D26,Models!$A$2:$B$13,2,0)</f>
        <v>55-inch QLED TV</v>
      </c>
      <c r="F26" s="0" t="s">
        <v>69</v>
      </c>
      <c r="G26" s="58" t="str">
        <f aca="false">VLOOKUP(F26,Countries!$A$2:$B$11,2,0)</f>
        <v>Egypt</v>
      </c>
      <c r="H26" s="13" t="n">
        <v>29</v>
      </c>
      <c r="I26" s="13" t="n">
        <v>452400</v>
      </c>
      <c r="J26" s="0" t="s">
        <v>12</v>
      </c>
      <c r="K26" s="0" t="s">
        <v>66</v>
      </c>
    </row>
    <row r="27" customFormat="false" ht="12.8" hidden="false" customHeight="false" outlineLevel="0" collapsed="false">
      <c r="A27" s="57" t="n">
        <v>46205</v>
      </c>
      <c r="B27" s="0" t="s">
        <v>110</v>
      </c>
      <c r="C27" s="0" t="s">
        <v>20</v>
      </c>
      <c r="D27" s="0" t="s">
        <v>77</v>
      </c>
      <c r="E27" s="58" t="str">
        <f aca="false">VLOOKUP(D27,Models!$A$2:$B$13,2,0)</f>
        <v>65-inch QLED TV</v>
      </c>
      <c r="F27" s="0" t="s">
        <v>69</v>
      </c>
      <c r="G27" s="58" t="str">
        <f aca="false">VLOOKUP(F27,Countries!$A$2:$B$11,2,0)</f>
        <v>Egypt</v>
      </c>
      <c r="H27" s="13" t="n">
        <v>9</v>
      </c>
      <c r="I27" s="13" t="n">
        <v>220500</v>
      </c>
      <c r="J27" s="0" t="s">
        <v>12</v>
      </c>
      <c r="K27" s="0" t="s">
        <v>66</v>
      </c>
    </row>
    <row r="28" customFormat="false" ht="12.8" hidden="false" customHeight="false" outlineLevel="0" collapsed="false">
      <c r="A28" s="57" t="n">
        <v>46205</v>
      </c>
      <c r="B28" s="0" t="s">
        <v>111</v>
      </c>
      <c r="C28" s="0" t="s">
        <v>20</v>
      </c>
      <c r="D28" s="0" t="s">
        <v>74</v>
      </c>
      <c r="E28" s="58" t="str">
        <f aca="false">VLOOKUP(D28,Models!$A$2:$B$13,2,0)</f>
        <v>40-inch Full HD TV</v>
      </c>
      <c r="F28" s="0" t="s">
        <v>69</v>
      </c>
      <c r="G28" s="58" t="str">
        <f aca="false">VLOOKUP(F28,Countries!$A$2:$B$11,2,0)</f>
        <v>Egypt</v>
      </c>
      <c r="H28" s="13" t="n">
        <v>33</v>
      </c>
      <c r="I28" s="13" t="n">
        <v>204600</v>
      </c>
      <c r="J28" s="0" t="s">
        <v>12</v>
      </c>
      <c r="K28" s="0" t="s">
        <v>66</v>
      </c>
    </row>
    <row r="29" customFormat="false" ht="12.8" hidden="false" customHeight="false" outlineLevel="0" collapsed="false">
      <c r="A29" s="57" t="n">
        <v>46205</v>
      </c>
      <c r="B29" s="0" t="s">
        <v>112</v>
      </c>
      <c r="C29" s="0" t="s">
        <v>20</v>
      </c>
      <c r="D29" s="0" t="s">
        <v>109</v>
      </c>
      <c r="E29" s="58" t="str">
        <f aca="false">VLOOKUP(D29,Models!$A$2:$B$13,2,0)</f>
        <v>55-inch QLED TV</v>
      </c>
      <c r="F29" s="0" t="s">
        <v>69</v>
      </c>
      <c r="G29" s="58" t="str">
        <f aca="false">VLOOKUP(F29,Countries!$A$2:$B$11,2,0)</f>
        <v>Egypt</v>
      </c>
      <c r="H29" s="13" t="n">
        <v>17</v>
      </c>
      <c r="I29" s="13" t="n">
        <v>265200</v>
      </c>
      <c r="J29" s="0" t="s">
        <v>12</v>
      </c>
      <c r="K29" s="0" t="s">
        <v>66</v>
      </c>
    </row>
    <row r="30" customFormat="false" ht="12.8" hidden="false" customHeight="false" outlineLevel="0" collapsed="false">
      <c r="A30" s="57" t="n">
        <v>46205</v>
      </c>
      <c r="B30" s="0" t="s">
        <v>113</v>
      </c>
      <c r="C30" s="0" t="s">
        <v>21</v>
      </c>
      <c r="D30" s="0" t="s">
        <v>95</v>
      </c>
      <c r="E30" s="58" t="str">
        <f aca="false">VLOOKUP(D30,Models!$A$2:$B$13,2,0)</f>
        <v>32-inch HD TV</v>
      </c>
      <c r="F30" s="0" t="s">
        <v>69</v>
      </c>
      <c r="G30" s="58" t="str">
        <f aca="false">VLOOKUP(F30,Countries!$A$2:$B$11,2,0)</f>
        <v>Egypt</v>
      </c>
      <c r="H30" s="13" t="n">
        <v>62</v>
      </c>
      <c r="I30" s="13" t="n">
        <v>241800</v>
      </c>
      <c r="J30" s="0" t="s">
        <v>12</v>
      </c>
      <c r="K30" s="0" t="s">
        <v>66</v>
      </c>
    </row>
    <row r="31" customFormat="false" ht="12.8" hidden="false" customHeight="false" outlineLevel="0" collapsed="false">
      <c r="A31" s="57" t="n">
        <v>46205</v>
      </c>
      <c r="B31" s="0" t="s">
        <v>114</v>
      </c>
      <c r="C31" s="0" t="s">
        <v>21</v>
      </c>
      <c r="D31" s="0" t="s">
        <v>68</v>
      </c>
      <c r="E31" s="58" t="str">
        <f aca="false">VLOOKUP(D31,Models!$A$2:$B$13,2,0)</f>
        <v>50-inch 4K TV</v>
      </c>
      <c r="F31" s="0" t="s">
        <v>75</v>
      </c>
      <c r="G31" s="58" t="str">
        <f aca="false">VLOOKUP(F31,Countries!$A$2:$B$11,2,0)</f>
        <v>Nigeria</v>
      </c>
      <c r="H31" s="13" t="n">
        <v>33</v>
      </c>
      <c r="I31" s="13" t="n">
        <v>343200</v>
      </c>
      <c r="J31" s="0" t="s">
        <v>12</v>
      </c>
      <c r="K31" s="0" t="s">
        <v>66</v>
      </c>
    </row>
    <row r="32" customFormat="false" ht="12.8" hidden="false" customHeight="false" outlineLevel="0" collapsed="false">
      <c r="A32" s="57" t="n">
        <v>46207</v>
      </c>
      <c r="B32" s="0" t="s">
        <v>115</v>
      </c>
      <c r="C32" s="0" t="s">
        <v>13</v>
      </c>
      <c r="D32" s="0" t="s">
        <v>77</v>
      </c>
      <c r="E32" s="58" t="str">
        <f aca="false">VLOOKUP(D32,Models!$A$2:$B$13,2,0)</f>
        <v>65-inch QLED TV</v>
      </c>
      <c r="F32" s="0" t="s">
        <v>83</v>
      </c>
      <c r="G32" s="58" t="str">
        <f aca="false">VLOOKUP(F32,Countries!$A$2:$B$11,2,0)</f>
        <v>United Arab Emirates</v>
      </c>
      <c r="H32" s="13" t="n">
        <v>19</v>
      </c>
      <c r="I32" s="13" t="n">
        <v>465500</v>
      </c>
      <c r="J32" s="0" t="s">
        <v>12</v>
      </c>
      <c r="K32" s="0" t="s">
        <v>66</v>
      </c>
    </row>
    <row r="33" customFormat="false" ht="12.8" hidden="false" customHeight="false" outlineLevel="0" collapsed="false">
      <c r="A33" s="57" t="n">
        <v>46207</v>
      </c>
      <c r="B33" s="0" t="s">
        <v>116</v>
      </c>
      <c r="C33" s="0" t="s">
        <v>13</v>
      </c>
      <c r="D33" s="0" t="s">
        <v>109</v>
      </c>
      <c r="E33" s="58" t="str">
        <f aca="false">VLOOKUP(D33,Models!$A$2:$B$13,2,0)</f>
        <v>55-inch QLED TV</v>
      </c>
      <c r="F33" s="0" t="s">
        <v>72</v>
      </c>
      <c r="G33" s="58" t="str">
        <f aca="false">VLOOKUP(F33,Countries!$A$2:$B$11,2,0)</f>
        <v>Kenya</v>
      </c>
      <c r="H33" s="13" t="n">
        <v>24</v>
      </c>
      <c r="I33" s="13" t="n">
        <v>374400</v>
      </c>
      <c r="J33" s="0" t="s">
        <v>12</v>
      </c>
      <c r="K33" s="0" t="s">
        <v>66</v>
      </c>
    </row>
    <row r="34" customFormat="false" ht="12.8" hidden="false" customHeight="false" outlineLevel="0" collapsed="false">
      <c r="A34" s="57" t="n">
        <v>46207</v>
      </c>
      <c r="B34" s="0" t="s">
        <v>117</v>
      </c>
      <c r="C34" s="0" t="s">
        <v>13</v>
      </c>
      <c r="D34" s="0" t="s">
        <v>77</v>
      </c>
      <c r="E34" s="58" t="str">
        <f aca="false">VLOOKUP(D34,Models!$A$2:$B$13,2,0)</f>
        <v>65-inch QLED TV</v>
      </c>
      <c r="F34" s="0" t="s">
        <v>69</v>
      </c>
      <c r="G34" s="58" t="str">
        <f aca="false">VLOOKUP(F34,Countries!$A$2:$B$11,2,0)</f>
        <v>Egypt</v>
      </c>
      <c r="H34" s="13" t="n">
        <v>12</v>
      </c>
      <c r="I34" s="13" t="n">
        <v>294000</v>
      </c>
      <c r="J34" s="0" t="s">
        <v>12</v>
      </c>
      <c r="K34" s="0" t="s">
        <v>66</v>
      </c>
    </row>
    <row r="35" customFormat="false" ht="12.8" hidden="false" customHeight="false" outlineLevel="0" collapsed="false">
      <c r="A35" s="57" t="n">
        <v>46207</v>
      </c>
      <c r="B35" s="0" t="s">
        <v>118</v>
      </c>
      <c r="C35" s="0" t="s">
        <v>13</v>
      </c>
      <c r="D35" s="0" t="s">
        <v>64</v>
      </c>
      <c r="E35" s="58" t="str">
        <f aca="false">VLOOKUP(D35,Models!$A$2:$B$13,2,0)</f>
        <v>32-inch Smart TV</v>
      </c>
      <c r="F35" s="0" t="s">
        <v>79</v>
      </c>
      <c r="G35" s="58" t="str">
        <f aca="false">VLOOKUP(F35,Countries!$A$2:$B$11,2,0)</f>
        <v>Iraq</v>
      </c>
      <c r="H35" s="13" t="n">
        <v>18</v>
      </c>
      <c r="I35" s="13" t="n">
        <v>82800</v>
      </c>
      <c r="J35" s="0" t="s">
        <v>12</v>
      </c>
      <c r="K35" s="0" t="s">
        <v>66</v>
      </c>
    </row>
    <row r="36" customFormat="false" ht="12.8" hidden="false" customHeight="false" outlineLevel="0" collapsed="false">
      <c r="A36" s="57" t="n">
        <v>46207</v>
      </c>
      <c r="B36" s="0" t="s">
        <v>119</v>
      </c>
      <c r="C36" s="0" t="s">
        <v>15</v>
      </c>
      <c r="D36" s="0" t="s">
        <v>77</v>
      </c>
      <c r="E36" s="58" t="str">
        <f aca="false">VLOOKUP(D36,Models!$A$2:$B$13,2,0)</f>
        <v>65-inch QLED TV</v>
      </c>
      <c r="F36" s="0" t="s">
        <v>69</v>
      </c>
      <c r="G36" s="58" t="str">
        <f aca="false">VLOOKUP(F36,Countries!$A$2:$B$11,2,0)</f>
        <v>Egypt</v>
      </c>
      <c r="H36" s="13" t="n">
        <v>5</v>
      </c>
      <c r="I36" s="13" t="n">
        <v>122500</v>
      </c>
      <c r="J36" s="0" t="s">
        <v>12</v>
      </c>
      <c r="K36" s="0" t="s">
        <v>66</v>
      </c>
    </row>
    <row r="37" customFormat="false" ht="12.8" hidden="false" customHeight="false" outlineLevel="0" collapsed="false">
      <c r="A37" s="57" t="n">
        <v>46207</v>
      </c>
      <c r="B37" s="0" t="s">
        <v>120</v>
      </c>
      <c r="C37" s="0" t="s">
        <v>15</v>
      </c>
      <c r="D37" s="0" t="s">
        <v>88</v>
      </c>
      <c r="E37" s="58" t="str">
        <f aca="false">VLOOKUP(D37,Models!$A$2:$B$13,2,0)</f>
        <v>24-inch HD TV</v>
      </c>
      <c r="F37" s="0" t="s">
        <v>69</v>
      </c>
      <c r="G37" s="58" t="str">
        <f aca="false">VLOOKUP(F37,Countries!$A$2:$B$11,2,0)</f>
        <v>Egypt</v>
      </c>
      <c r="H37" s="13" t="n">
        <v>5</v>
      </c>
      <c r="I37" s="13" t="n">
        <v>14500</v>
      </c>
      <c r="J37" s="0" t="s">
        <v>12</v>
      </c>
      <c r="K37" s="0" t="s">
        <v>66</v>
      </c>
    </row>
    <row r="38" customFormat="false" ht="12.8" hidden="false" customHeight="false" outlineLevel="0" collapsed="false">
      <c r="A38" s="57" t="n">
        <v>46207</v>
      </c>
      <c r="B38" s="0" t="s">
        <v>121</v>
      </c>
      <c r="C38" s="0" t="s">
        <v>17</v>
      </c>
      <c r="D38" s="0" t="s">
        <v>109</v>
      </c>
      <c r="E38" s="58" t="str">
        <f aca="false">VLOOKUP(D38,Models!$A$2:$B$13,2,0)</f>
        <v>55-inch QLED TV</v>
      </c>
      <c r="F38" s="0" t="s">
        <v>69</v>
      </c>
      <c r="G38" s="58" t="str">
        <f aca="false">VLOOKUP(F38,Countries!$A$2:$B$11,2,0)</f>
        <v>Egypt</v>
      </c>
      <c r="H38" s="13" t="n">
        <v>26</v>
      </c>
      <c r="I38" s="13" t="n">
        <v>405600</v>
      </c>
      <c r="J38" s="0" t="s">
        <v>12</v>
      </c>
      <c r="K38" s="0" t="s">
        <v>66</v>
      </c>
    </row>
    <row r="39" customFormat="false" ht="12.8" hidden="false" customHeight="false" outlineLevel="0" collapsed="false">
      <c r="A39" s="57" t="n">
        <v>46207</v>
      </c>
      <c r="B39" s="0" t="s">
        <v>122</v>
      </c>
      <c r="C39" s="0" t="s">
        <v>17</v>
      </c>
      <c r="D39" s="0" t="s">
        <v>81</v>
      </c>
      <c r="E39" s="58" t="str">
        <f aca="false">VLOOKUP(D39,Models!$A$2:$B$13,2,0)</f>
        <v>43-inch Smart TV</v>
      </c>
      <c r="F39" s="0" t="s">
        <v>69</v>
      </c>
      <c r="G39" s="58" t="str">
        <f aca="false">VLOOKUP(F39,Countries!$A$2:$B$11,2,0)</f>
        <v>Egypt</v>
      </c>
      <c r="H39" s="13" t="n">
        <v>33</v>
      </c>
      <c r="I39" s="13" t="n">
        <v>257400</v>
      </c>
      <c r="J39" s="0" t="s">
        <v>12</v>
      </c>
      <c r="K39" s="0" t="s">
        <v>66</v>
      </c>
    </row>
    <row r="40" customFormat="false" ht="12.8" hidden="false" customHeight="false" outlineLevel="0" collapsed="false">
      <c r="A40" s="57" t="n">
        <v>46207</v>
      </c>
      <c r="B40" s="0" t="s">
        <v>123</v>
      </c>
      <c r="C40" s="0" t="s">
        <v>17</v>
      </c>
      <c r="D40" s="0" t="s">
        <v>64</v>
      </c>
      <c r="E40" s="58" t="str">
        <f aca="false">VLOOKUP(D40,Models!$A$2:$B$13,2,0)</f>
        <v>32-inch Smart TV</v>
      </c>
      <c r="F40" s="0" t="s">
        <v>69</v>
      </c>
      <c r="G40" s="58" t="str">
        <f aca="false">VLOOKUP(F40,Countries!$A$2:$B$11,2,0)</f>
        <v>Egypt</v>
      </c>
      <c r="H40" s="13" t="n">
        <v>62</v>
      </c>
      <c r="I40" s="13" t="n">
        <v>285200</v>
      </c>
      <c r="J40" s="0" t="s">
        <v>12</v>
      </c>
      <c r="K40" s="0" t="s">
        <v>66</v>
      </c>
    </row>
    <row r="41" customFormat="false" ht="12.8" hidden="false" customHeight="false" outlineLevel="0" collapsed="false">
      <c r="A41" s="57" t="n">
        <v>46207</v>
      </c>
      <c r="B41" s="0" t="s">
        <v>124</v>
      </c>
      <c r="C41" s="0" t="s">
        <v>17</v>
      </c>
      <c r="D41" s="0" t="s">
        <v>95</v>
      </c>
      <c r="E41" s="58" t="str">
        <f aca="false">VLOOKUP(D41,Models!$A$2:$B$13,2,0)</f>
        <v>32-inch HD TV</v>
      </c>
      <c r="F41" s="0" t="s">
        <v>69</v>
      </c>
      <c r="G41" s="58" t="str">
        <f aca="false">VLOOKUP(F41,Countries!$A$2:$B$11,2,0)</f>
        <v>Egypt</v>
      </c>
      <c r="H41" s="13" t="n">
        <v>12</v>
      </c>
      <c r="I41" s="13" t="n">
        <v>46800</v>
      </c>
      <c r="J41" s="0" t="s">
        <v>12</v>
      </c>
      <c r="K41" s="0" t="s">
        <v>66</v>
      </c>
    </row>
    <row r="42" customFormat="false" ht="12.8" hidden="false" customHeight="false" outlineLevel="0" collapsed="false">
      <c r="A42" s="57" t="n">
        <v>46207</v>
      </c>
      <c r="B42" s="0" t="s">
        <v>125</v>
      </c>
      <c r="C42" s="0" t="s">
        <v>19</v>
      </c>
      <c r="D42" s="0" t="s">
        <v>92</v>
      </c>
      <c r="E42" s="58" t="str">
        <f aca="false">VLOOKUP(D42,Models!$A$2:$B$13,2,0)</f>
        <v>65-inch 4K TV</v>
      </c>
      <c r="F42" s="0" t="s">
        <v>69</v>
      </c>
      <c r="G42" s="58" t="str">
        <f aca="false">VLOOKUP(F42,Countries!$A$2:$B$11,2,0)</f>
        <v>Egypt</v>
      </c>
      <c r="H42" s="13" t="n">
        <v>16</v>
      </c>
      <c r="I42" s="13" t="n">
        <v>316800</v>
      </c>
      <c r="J42" s="0" t="s">
        <v>12</v>
      </c>
      <c r="K42" s="0" t="s">
        <v>66</v>
      </c>
    </row>
    <row r="43" customFormat="false" ht="12.8" hidden="false" customHeight="false" outlineLevel="0" collapsed="false">
      <c r="A43" s="57" t="n">
        <v>46207</v>
      </c>
      <c r="B43" s="0" t="s">
        <v>126</v>
      </c>
      <c r="C43" s="0" t="s">
        <v>19</v>
      </c>
      <c r="D43" s="0" t="s">
        <v>81</v>
      </c>
      <c r="E43" s="58" t="str">
        <f aca="false">VLOOKUP(D43,Models!$A$2:$B$13,2,0)</f>
        <v>43-inch Smart TV</v>
      </c>
      <c r="F43" s="0" t="s">
        <v>69</v>
      </c>
      <c r="G43" s="58" t="str">
        <f aca="false">VLOOKUP(F43,Countries!$A$2:$B$11,2,0)</f>
        <v>Egypt</v>
      </c>
      <c r="H43" s="13" t="n">
        <v>49</v>
      </c>
      <c r="I43" s="13" t="n">
        <v>382200</v>
      </c>
      <c r="J43" s="0" t="s">
        <v>12</v>
      </c>
      <c r="K43" s="0" t="s">
        <v>66</v>
      </c>
    </row>
    <row r="44" customFormat="false" ht="12.8" hidden="false" customHeight="false" outlineLevel="0" collapsed="false">
      <c r="A44" s="57" t="n">
        <v>46207</v>
      </c>
      <c r="B44" s="0" t="s">
        <v>127</v>
      </c>
      <c r="C44" s="0" t="s">
        <v>19</v>
      </c>
      <c r="D44" s="0" t="s">
        <v>68</v>
      </c>
      <c r="E44" s="58" t="str">
        <f aca="false">VLOOKUP(D44,Models!$A$2:$B$13,2,0)</f>
        <v>50-inch 4K TV</v>
      </c>
      <c r="F44" s="0" t="s">
        <v>69</v>
      </c>
      <c r="G44" s="58" t="str">
        <f aca="false">VLOOKUP(F44,Countries!$A$2:$B$11,2,0)</f>
        <v>Egypt</v>
      </c>
      <c r="H44" s="13" t="n">
        <v>15</v>
      </c>
      <c r="I44" s="13" t="n">
        <v>156000</v>
      </c>
      <c r="J44" s="0" t="s">
        <v>12</v>
      </c>
      <c r="K44" s="0" t="s">
        <v>66</v>
      </c>
    </row>
    <row r="45" customFormat="false" ht="12.8" hidden="false" customHeight="false" outlineLevel="0" collapsed="false">
      <c r="A45" s="57" t="n">
        <v>46207</v>
      </c>
      <c r="B45" s="0" t="s">
        <v>128</v>
      </c>
      <c r="C45" s="0" t="s">
        <v>19</v>
      </c>
      <c r="D45" s="0" t="s">
        <v>95</v>
      </c>
      <c r="E45" s="58" t="str">
        <f aca="false">VLOOKUP(D45,Models!$A$2:$B$13,2,0)</f>
        <v>32-inch HD TV</v>
      </c>
      <c r="F45" s="0" t="s">
        <v>69</v>
      </c>
      <c r="G45" s="58" t="str">
        <f aca="false">VLOOKUP(F45,Countries!$A$2:$B$11,2,0)</f>
        <v>Egypt</v>
      </c>
      <c r="H45" s="13" t="n">
        <v>37</v>
      </c>
      <c r="I45" s="13" t="n">
        <v>144300</v>
      </c>
      <c r="J45" s="0" t="s">
        <v>12</v>
      </c>
      <c r="K45" s="0" t="s">
        <v>66</v>
      </c>
    </row>
    <row r="46" customFormat="false" ht="12.8" hidden="false" customHeight="false" outlineLevel="0" collapsed="false">
      <c r="A46" s="57" t="n">
        <v>46207</v>
      </c>
      <c r="B46" s="0" t="s">
        <v>129</v>
      </c>
      <c r="C46" s="0" t="s">
        <v>20</v>
      </c>
      <c r="D46" s="0" t="s">
        <v>74</v>
      </c>
      <c r="E46" s="58" t="str">
        <f aca="false">VLOOKUP(D46,Models!$A$2:$B$13,2,0)</f>
        <v>40-inch Full HD TV</v>
      </c>
      <c r="F46" s="0" t="s">
        <v>69</v>
      </c>
      <c r="G46" s="58" t="str">
        <f aca="false">VLOOKUP(F46,Countries!$A$2:$B$11,2,0)</f>
        <v>Egypt</v>
      </c>
      <c r="H46" s="13" t="n">
        <v>30</v>
      </c>
      <c r="I46" s="13" t="n">
        <v>186000</v>
      </c>
      <c r="J46" s="0" t="s">
        <v>12</v>
      </c>
      <c r="K46" s="0" t="s">
        <v>66</v>
      </c>
    </row>
    <row r="47" customFormat="false" ht="12.8" hidden="false" customHeight="false" outlineLevel="0" collapsed="false">
      <c r="A47" s="57" t="n">
        <v>46207</v>
      </c>
      <c r="B47" s="0" t="s">
        <v>130</v>
      </c>
      <c r="C47" s="0" t="s">
        <v>20</v>
      </c>
      <c r="D47" s="0" t="s">
        <v>92</v>
      </c>
      <c r="E47" s="58" t="str">
        <f aca="false">VLOOKUP(D47,Models!$A$2:$B$13,2,0)</f>
        <v>65-inch 4K TV</v>
      </c>
      <c r="F47" s="0" t="s">
        <v>69</v>
      </c>
      <c r="G47" s="58" t="str">
        <f aca="false">VLOOKUP(F47,Countries!$A$2:$B$11,2,0)</f>
        <v>Egypt</v>
      </c>
      <c r="H47" s="13" t="n">
        <v>10</v>
      </c>
      <c r="I47" s="13" t="n">
        <v>198000</v>
      </c>
      <c r="J47" s="0" t="s">
        <v>12</v>
      </c>
      <c r="K47" s="0" t="s">
        <v>66</v>
      </c>
    </row>
    <row r="48" customFormat="false" ht="12.8" hidden="false" customHeight="false" outlineLevel="0" collapsed="false">
      <c r="A48" s="57" t="n">
        <v>46207</v>
      </c>
      <c r="B48" s="0" t="s">
        <v>131</v>
      </c>
      <c r="C48" s="0" t="s">
        <v>20</v>
      </c>
      <c r="D48" s="0" t="s">
        <v>85</v>
      </c>
      <c r="E48" s="58" t="str">
        <f aca="false">VLOOKUP(D48,Models!$A$2:$B$13,2,0)</f>
        <v>75-inch 4K TV</v>
      </c>
      <c r="F48" s="0" t="s">
        <v>69</v>
      </c>
      <c r="G48" s="58" t="str">
        <f aca="false">VLOOKUP(F48,Countries!$A$2:$B$11,2,0)</f>
        <v>Egypt</v>
      </c>
      <c r="H48" s="13" t="n">
        <v>6</v>
      </c>
      <c r="I48" s="13" t="n">
        <v>187200</v>
      </c>
      <c r="J48" s="0" t="s">
        <v>12</v>
      </c>
      <c r="K48" s="0" t="s">
        <v>66</v>
      </c>
    </row>
    <row r="49" customFormat="false" ht="12.8" hidden="false" customHeight="false" outlineLevel="0" collapsed="false">
      <c r="A49" s="57" t="n">
        <v>46207</v>
      </c>
      <c r="B49" s="0" t="s">
        <v>132</v>
      </c>
      <c r="C49" s="0" t="s">
        <v>20</v>
      </c>
      <c r="D49" s="0" t="s">
        <v>68</v>
      </c>
      <c r="E49" s="58" t="str">
        <f aca="false">VLOOKUP(D49,Models!$A$2:$B$13,2,0)</f>
        <v>50-inch 4K TV</v>
      </c>
      <c r="F49" s="0" t="s">
        <v>75</v>
      </c>
      <c r="G49" s="58" t="str">
        <f aca="false">VLOOKUP(F49,Countries!$A$2:$B$11,2,0)</f>
        <v>Nigeria</v>
      </c>
      <c r="H49" s="13" t="n">
        <v>21</v>
      </c>
      <c r="I49" s="13" t="n">
        <v>218400</v>
      </c>
      <c r="J49" s="0" t="s">
        <v>12</v>
      </c>
      <c r="K49" s="0" t="s">
        <v>66</v>
      </c>
    </row>
    <row r="50" customFormat="false" ht="12.8" hidden="false" customHeight="false" outlineLevel="0" collapsed="false">
      <c r="A50" s="57" t="n">
        <v>46207</v>
      </c>
      <c r="B50" s="0" t="s">
        <v>133</v>
      </c>
      <c r="C50" s="0" t="s">
        <v>21</v>
      </c>
      <c r="D50" s="0" t="s">
        <v>92</v>
      </c>
      <c r="E50" s="58" t="str">
        <f aca="false">VLOOKUP(D50,Models!$A$2:$B$13,2,0)</f>
        <v>65-inch 4K TV</v>
      </c>
      <c r="F50" s="0" t="s">
        <v>69</v>
      </c>
      <c r="G50" s="58" t="str">
        <f aca="false">VLOOKUP(F50,Countries!$A$2:$B$11,2,0)</f>
        <v>Egypt</v>
      </c>
      <c r="H50" s="13" t="n">
        <v>19</v>
      </c>
      <c r="I50" s="13" t="n">
        <v>376200</v>
      </c>
      <c r="J50" s="0" t="s">
        <v>12</v>
      </c>
      <c r="K50" s="0" t="s">
        <v>66</v>
      </c>
    </row>
    <row r="51" customFormat="false" ht="12.8" hidden="false" customHeight="false" outlineLevel="0" collapsed="false">
      <c r="A51" s="57" t="n">
        <v>46207</v>
      </c>
      <c r="B51" s="0" t="s">
        <v>134</v>
      </c>
      <c r="C51" s="0" t="s">
        <v>21</v>
      </c>
      <c r="D51" s="0" t="s">
        <v>109</v>
      </c>
      <c r="E51" s="58" t="str">
        <f aca="false">VLOOKUP(D51,Models!$A$2:$B$13,2,0)</f>
        <v>55-inch QLED TV</v>
      </c>
      <c r="F51" s="0" t="s">
        <v>69</v>
      </c>
      <c r="G51" s="58" t="str">
        <f aca="false">VLOOKUP(F51,Countries!$A$2:$B$11,2,0)</f>
        <v>Egypt</v>
      </c>
      <c r="H51" s="13" t="n">
        <v>27</v>
      </c>
      <c r="I51" s="13" t="n">
        <v>421200</v>
      </c>
      <c r="J51" s="0" t="s">
        <v>12</v>
      </c>
      <c r="K51" s="0" t="s">
        <v>66</v>
      </c>
    </row>
    <row r="52" customFormat="false" ht="12.8" hidden="false" customHeight="false" outlineLevel="0" collapsed="false">
      <c r="A52" s="57" t="n">
        <v>46208</v>
      </c>
      <c r="B52" s="0" t="s">
        <v>135</v>
      </c>
      <c r="C52" s="0" t="s">
        <v>13</v>
      </c>
      <c r="D52" s="0" t="s">
        <v>109</v>
      </c>
      <c r="E52" s="58" t="str">
        <f aca="false">VLOOKUP(D52,Models!$A$2:$B$13,2,0)</f>
        <v>55-inch QLED TV</v>
      </c>
      <c r="F52" s="0" t="s">
        <v>72</v>
      </c>
      <c r="G52" s="58" t="str">
        <f aca="false">VLOOKUP(F52,Countries!$A$2:$B$11,2,0)</f>
        <v>Kenya</v>
      </c>
      <c r="H52" s="13" t="n">
        <v>20</v>
      </c>
      <c r="I52" s="13" t="n">
        <v>312000</v>
      </c>
      <c r="J52" s="0" t="s">
        <v>12</v>
      </c>
      <c r="K52" s="0" t="s">
        <v>66</v>
      </c>
    </row>
    <row r="53" customFormat="false" ht="12.8" hidden="false" customHeight="false" outlineLevel="0" collapsed="false">
      <c r="A53" s="57" t="n">
        <v>46208</v>
      </c>
      <c r="B53" s="0" t="s">
        <v>136</v>
      </c>
      <c r="C53" s="0" t="s">
        <v>13</v>
      </c>
      <c r="D53" s="0" t="s">
        <v>109</v>
      </c>
      <c r="E53" s="58" t="str">
        <f aca="false">VLOOKUP(D53,Models!$A$2:$B$13,2,0)</f>
        <v>55-inch QLED TV</v>
      </c>
      <c r="F53" s="0" t="s">
        <v>103</v>
      </c>
      <c r="G53" s="58" t="str">
        <f aca="false">VLOOKUP(F53,Countries!$A$2:$B$11,2,0)</f>
        <v>Morocco</v>
      </c>
      <c r="H53" s="13" t="n">
        <v>7</v>
      </c>
      <c r="I53" s="13" t="n">
        <v>109200</v>
      </c>
      <c r="J53" s="0" t="s">
        <v>12</v>
      </c>
      <c r="K53" s="0" t="s">
        <v>66</v>
      </c>
    </row>
    <row r="54" customFormat="false" ht="12.8" hidden="false" customHeight="false" outlineLevel="0" collapsed="false">
      <c r="A54" s="57" t="n">
        <v>46208</v>
      </c>
      <c r="B54" s="0" t="s">
        <v>137</v>
      </c>
      <c r="C54" s="0" t="s">
        <v>15</v>
      </c>
      <c r="D54" s="0" t="s">
        <v>74</v>
      </c>
      <c r="E54" s="58" t="str">
        <f aca="false">VLOOKUP(D54,Models!$A$2:$B$13,2,0)</f>
        <v>40-inch Full HD TV</v>
      </c>
      <c r="F54" s="0" t="s">
        <v>75</v>
      </c>
      <c r="G54" s="58" t="str">
        <f aca="false">VLOOKUP(F54,Countries!$A$2:$B$11,2,0)</f>
        <v>Nigeria</v>
      </c>
      <c r="H54" s="13" t="n">
        <v>8</v>
      </c>
      <c r="I54" s="13" t="n">
        <v>49600</v>
      </c>
      <c r="J54" s="0" t="s">
        <v>12</v>
      </c>
      <c r="K54" s="0" t="s">
        <v>66</v>
      </c>
    </row>
    <row r="55" customFormat="false" ht="12.8" hidden="false" customHeight="false" outlineLevel="0" collapsed="false">
      <c r="A55" s="57" t="n">
        <v>46208</v>
      </c>
      <c r="B55" s="0" t="s">
        <v>138</v>
      </c>
      <c r="C55" s="0" t="s">
        <v>17</v>
      </c>
      <c r="D55" s="0" t="s">
        <v>90</v>
      </c>
      <c r="E55" s="58" t="str">
        <f aca="false">VLOOKUP(D55,Models!$A$2:$B$13,2,0)</f>
        <v>55-inch 4K TV</v>
      </c>
      <c r="F55" s="0" t="s">
        <v>69</v>
      </c>
      <c r="G55" s="58" t="str">
        <f aca="false">VLOOKUP(F55,Countries!$A$2:$B$11,2,0)</f>
        <v>Egypt</v>
      </c>
      <c r="H55" s="13" t="n">
        <v>16</v>
      </c>
      <c r="I55" s="13" t="n">
        <v>196800</v>
      </c>
      <c r="J55" s="0" t="s">
        <v>12</v>
      </c>
      <c r="K55" s="0" t="s">
        <v>66</v>
      </c>
    </row>
    <row r="56" customFormat="false" ht="12.8" hidden="false" customHeight="false" outlineLevel="0" collapsed="false">
      <c r="A56" s="57" t="n">
        <v>46208</v>
      </c>
      <c r="B56" s="0" t="s">
        <v>139</v>
      </c>
      <c r="C56" s="0" t="s">
        <v>17</v>
      </c>
      <c r="D56" s="0" t="s">
        <v>85</v>
      </c>
      <c r="E56" s="58" t="str">
        <f aca="false">VLOOKUP(D56,Models!$A$2:$B$13,2,0)</f>
        <v>75-inch 4K TV</v>
      </c>
      <c r="F56" s="0" t="s">
        <v>69</v>
      </c>
      <c r="G56" s="58" t="str">
        <f aca="false">VLOOKUP(F56,Countries!$A$2:$B$11,2,0)</f>
        <v>Egypt</v>
      </c>
      <c r="H56" s="13" t="n">
        <v>14</v>
      </c>
      <c r="I56" s="13" t="n">
        <v>436800</v>
      </c>
      <c r="J56" s="0" t="s">
        <v>12</v>
      </c>
      <c r="K56" s="0" t="s">
        <v>66</v>
      </c>
    </row>
    <row r="57" customFormat="false" ht="12.8" hidden="false" customHeight="false" outlineLevel="0" collapsed="false">
      <c r="A57" s="57" t="n">
        <v>46208</v>
      </c>
      <c r="B57" s="0" t="s">
        <v>140</v>
      </c>
      <c r="C57" s="0" t="s">
        <v>19</v>
      </c>
      <c r="D57" s="0" t="s">
        <v>81</v>
      </c>
      <c r="E57" s="58" t="str">
        <f aca="false">VLOOKUP(D57,Models!$A$2:$B$13,2,0)</f>
        <v>43-inch Smart TV</v>
      </c>
      <c r="F57" s="0" t="s">
        <v>83</v>
      </c>
      <c r="G57" s="58" t="str">
        <f aca="false">VLOOKUP(F57,Countries!$A$2:$B$11,2,0)</f>
        <v>United Arab Emirates</v>
      </c>
      <c r="H57" s="13" t="n">
        <v>14</v>
      </c>
      <c r="I57" s="13" t="n">
        <v>109200</v>
      </c>
      <c r="J57" s="0" t="s">
        <v>12</v>
      </c>
      <c r="K57" s="0" t="s">
        <v>66</v>
      </c>
    </row>
    <row r="58" customFormat="false" ht="12.8" hidden="false" customHeight="false" outlineLevel="0" collapsed="false">
      <c r="A58" s="57" t="n">
        <v>46208</v>
      </c>
      <c r="B58" s="0" t="s">
        <v>141</v>
      </c>
      <c r="C58" s="0" t="s">
        <v>19</v>
      </c>
      <c r="D58" s="0" t="s">
        <v>85</v>
      </c>
      <c r="E58" s="58" t="str">
        <f aca="false">VLOOKUP(D58,Models!$A$2:$B$13,2,0)</f>
        <v>75-inch 4K TV</v>
      </c>
      <c r="F58" s="0" t="s">
        <v>69</v>
      </c>
      <c r="G58" s="58" t="str">
        <f aca="false">VLOOKUP(F58,Countries!$A$2:$B$11,2,0)</f>
        <v>Egypt</v>
      </c>
      <c r="H58" s="13" t="n">
        <v>5</v>
      </c>
      <c r="I58" s="13" t="n">
        <v>156000</v>
      </c>
      <c r="J58" s="0" t="s">
        <v>12</v>
      </c>
      <c r="K58" s="0" t="s">
        <v>66</v>
      </c>
    </row>
    <row r="59" customFormat="false" ht="12.8" hidden="false" customHeight="false" outlineLevel="0" collapsed="false">
      <c r="A59" s="57" t="n">
        <v>46208</v>
      </c>
      <c r="B59" s="0" t="s">
        <v>142</v>
      </c>
      <c r="C59" s="0" t="s">
        <v>19</v>
      </c>
      <c r="D59" s="0" t="s">
        <v>68</v>
      </c>
      <c r="E59" s="58" t="str">
        <f aca="false">VLOOKUP(D59,Models!$A$2:$B$13,2,0)</f>
        <v>50-inch 4K TV</v>
      </c>
      <c r="F59" s="0" t="s">
        <v>69</v>
      </c>
      <c r="G59" s="58" t="str">
        <f aca="false">VLOOKUP(F59,Countries!$A$2:$B$11,2,0)</f>
        <v>Egypt</v>
      </c>
      <c r="H59" s="13" t="n">
        <v>16</v>
      </c>
      <c r="I59" s="13" t="n">
        <v>166400</v>
      </c>
      <c r="J59" s="0" t="s">
        <v>12</v>
      </c>
      <c r="K59" s="0" t="s">
        <v>66</v>
      </c>
    </row>
    <row r="60" customFormat="false" ht="12.8" hidden="false" customHeight="false" outlineLevel="0" collapsed="false">
      <c r="A60" s="57" t="n">
        <v>46208</v>
      </c>
      <c r="B60" s="0" t="s">
        <v>143</v>
      </c>
      <c r="C60" s="0" t="s">
        <v>20</v>
      </c>
      <c r="D60" s="0" t="s">
        <v>81</v>
      </c>
      <c r="E60" s="58" t="str">
        <f aca="false">VLOOKUP(D60,Models!$A$2:$B$13,2,0)</f>
        <v>43-inch Smart TV</v>
      </c>
      <c r="F60" s="0" t="s">
        <v>69</v>
      </c>
      <c r="G60" s="58" t="str">
        <f aca="false">VLOOKUP(F60,Countries!$A$2:$B$11,2,0)</f>
        <v>Egypt</v>
      </c>
      <c r="H60" s="13" t="n">
        <v>8</v>
      </c>
      <c r="I60" s="13" t="n">
        <v>62400</v>
      </c>
      <c r="J60" s="0" t="s">
        <v>12</v>
      </c>
      <c r="K60" s="0" t="s">
        <v>66</v>
      </c>
    </row>
    <row r="61" customFormat="false" ht="12.8" hidden="false" customHeight="false" outlineLevel="0" collapsed="false">
      <c r="A61" s="57" t="n">
        <v>46208</v>
      </c>
      <c r="B61" s="0" t="s">
        <v>144</v>
      </c>
      <c r="C61" s="0" t="s">
        <v>20</v>
      </c>
      <c r="D61" s="0" t="s">
        <v>90</v>
      </c>
      <c r="E61" s="58" t="str">
        <f aca="false">VLOOKUP(D61,Models!$A$2:$B$13,2,0)</f>
        <v>55-inch 4K TV</v>
      </c>
      <c r="F61" s="0" t="s">
        <v>72</v>
      </c>
      <c r="G61" s="58" t="str">
        <f aca="false">VLOOKUP(F61,Countries!$A$2:$B$11,2,0)</f>
        <v>Kenya</v>
      </c>
      <c r="H61" s="13" t="n">
        <v>32</v>
      </c>
      <c r="I61" s="13" t="n">
        <v>393600</v>
      </c>
      <c r="J61" s="0" t="s">
        <v>12</v>
      </c>
      <c r="K61" s="0" t="s">
        <v>66</v>
      </c>
    </row>
    <row r="62" customFormat="false" ht="12.8" hidden="false" customHeight="false" outlineLevel="0" collapsed="false">
      <c r="A62" s="57" t="n">
        <v>46208</v>
      </c>
      <c r="B62" s="0" t="s">
        <v>145</v>
      </c>
      <c r="C62" s="0" t="s">
        <v>20</v>
      </c>
      <c r="D62" s="0" t="s">
        <v>90</v>
      </c>
      <c r="E62" s="58" t="str">
        <f aca="false">VLOOKUP(D62,Models!$A$2:$B$13,2,0)</f>
        <v>55-inch 4K TV</v>
      </c>
      <c r="F62" s="0" t="s">
        <v>69</v>
      </c>
      <c r="G62" s="58" t="str">
        <f aca="false">VLOOKUP(F62,Countries!$A$2:$B$11,2,0)</f>
        <v>Egypt</v>
      </c>
      <c r="H62" s="13" t="n">
        <v>24</v>
      </c>
      <c r="I62" s="13" t="n">
        <v>295200</v>
      </c>
      <c r="J62" s="0" t="s">
        <v>12</v>
      </c>
      <c r="K62" s="0" t="s">
        <v>66</v>
      </c>
    </row>
    <row r="63" customFormat="false" ht="12.8" hidden="false" customHeight="false" outlineLevel="0" collapsed="false">
      <c r="A63" s="57" t="n">
        <v>46208</v>
      </c>
      <c r="B63" s="0" t="s">
        <v>146</v>
      </c>
      <c r="C63" s="0" t="s">
        <v>21</v>
      </c>
      <c r="D63" s="0" t="s">
        <v>81</v>
      </c>
      <c r="E63" s="58" t="str">
        <f aca="false">VLOOKUP(D63,Models!$A$2:$B$13,2,0)</f>
        <v>43-inch Smart TV</v>
      </c>
      <c r="F63" s="0" t="s">
        <v>65</v>
      </c>
      <c r="G63" s="58" t="str">
        <f aca="false">VLOOKUP(F63,Countries!$A$2:$B$11,2,0)</f>
        <v>Jordan</v>
      </c>
      <c r="H63" s="13" t="n">
        <v>11</v>
      </c>
      <c r="I63" s="13" t="n">
        <v>85800</v>
      </c>
      <c r="J63" s="0" t="s">
        <v>12</v>
      </c>
      <c r="K63" s="0" t="s">
        <v>66</v>
      </c>
    </row>
    <row r="64" customFormat="false" ht="12.8" hidden="false" customHeight="false" outlineLevel="0" collapsed="false">
      <c r="A64" s="57" t="n">
        <v>46208</v>
      </c>
      <c r="B64" s="0" t="s">
        <v>147</v>
      </c>
      <c r="C64" s="0" t="s">
        <v>21</v>
      </c>
      <c r="D64" s="0" t="s">
        <v>71</v>
      </c>
      <c r="E64" s="58" t="str">
        <f aca="false">VLOOKUP(D64,Models!$A$2:$B$13,2,0)</f>
        <v>43-inch Full HD TV</v>
      </c>
      <c r="F64" s="0" t="s">
        <v>69</v>
      </c>
      <c r="G64" s="58" t="str">
        <f aca="false">VLOOKUP(F64,Countries!$A$2:$B$11,2,0)</f>
        <v>Egypt</v>
      </c>
      <c r="H64" s="13" t="n">
        <v>32</v>
      </c>
      <c r="I64" s="13" t="n">
        <v>220800</v>
      </c>
      <c r="J64" s="0" t="s">
        <v>12</v>
      </c>
      <c r="K64" s="0" t="s">
        <v>66</v>
      </c>
    </row>
    <row r="65" customFormat="false" ht="12.8" hidden="false" customHeight="false" outlineLevel="0" collapsed="false">
      <c r="A65" s="57" t="n">
        <v>46209</v>
      </c>
      <c r="B65" s="0" t="s">
        <v>148</v>
      </c>
      <c r="C65" s="0" t="s">
        <v>13</v>
      </c>
      <c r="D65" s="0" t="s">
        <v>85</v>
      </c>
      <c r="E65" s="58" t="str">
        <f aca="false">VLOOKUP(D65,Models!$A$2:$B$13,2,0)</f>
        <v>75-inch 4K TV</v>
      </c>
      <c r="F65" s="0" t="s">
        <v>65</v>
      </c>
      <c r="G65" s="58" t="str">
        <f aca="false">VLOOKUP(F65,Countries!$A$2:$B$11,2,0)</f>
        <v>Jordan</v>
      </c>
      <c r="H65" s="13" t="n">
        <v>6</v>
      </c>
      <c r="I65" s="13" t="n">
        <v>187200</v>
      </c>
      <c r="J65" s="0" t="s">
        <v>12</v>
      </c>
      <c r="K65" s="0" t="s">
        <v>66</v>
      </c>
    </row>
    <row r="66" customFormat="false" ht="12.8" hidden="false" customHeight="false" outlineLevel="0" collapsed="false">
      <c r="A66" s="57" t="n">
        <v>46209</v>
      </c>
      <c r="B66" s="0" t="s">
        <v>149</v>
      </c>
      <c r="C66" s="0" t="s">
        <v>13</v>
      </c>
      <c r="D66" s="0" t="s">
        <v>68</v>
      </c>
      <c r="E66" s="58" t="str">
        <f aca="false">VLOOKUP(D66,Models!$A$2:$B$13,2,0)</f>
        <v>50-inch 4K TV</v>
      </c>
      <c r="F66" s="0" t="s">
        <v>69</v>
      </c>
      <c r="G66" s="58" t="str">
        <f aca="false">VLOOKUP(F66,Countries!$A$2:$B$11,2,0)</f>
        <v>Egypt</v>
      </c>
      <c r="H66" s="13" t="n">
        <v>32</v>
      </c>
      <c r="I66" s="13" t="n">
        <v>332800</v>
      </c>
      <c r="J66" s="0" t="s">
        <v>12</v>
      </c>
      <c r="K66" s="0" t="s">
        <v>66</v>
      </c>
    </row>
    <row r="67" customFormat="false" ht="12.8" hidden="false" customHeight="false" outlineLevel="0" collapsed="false">
      <c r="A67" s="57" t="n">
        <v>46209</v>
      </c>
      <c r="B67" s="0" t="s">
        <v>150</v>
      </c>
      <c r="C67" s="0" t="s">
        <v>13</v>
      </c>
      <c r="D67" s="0" t="s">
        <v>68</v>
      </c>
      <c r="E67" s="58" t="str">
        <f aca="false">VLOOKUP(D67,Models!$A$2:$B$13,2,0)</f>
        <v>50-inch 4K TV</v>
      </c>
      <c r="F67" s="0" t="s">
        <v>69</v>
      </c>
      <c r="G67" s="58" t="str">
        <f aca="false">VLOOKUP(F67,Countries!$A$2:$B$11,2,0)</f>
        <v>Egypt</v>
      </c>
      <c r="H67" s="13" t="n">
        <v>23</v>
      </c>
      <c r="I67" s="13" t="n">
        <v>239200</v>
      </c>
      <c r="J67" s="0" t="s">
        <v>12</v>
      </c>
      <c r="K67" s="0" t="s">
        <v>66</v>
      </c>
    </row>
    <row r="68" customFormat="false" ht="12.8" hidden="false" customHeight="false" outlineLevel="0" collapsed="false">
      <c r="A68" s="57" t="n">
        <v>46209</v>
      </c>
      <c r="B68" s="0" t="s">
        <v>151</v>
      </c>
      <c r="C68" s="0" t="s">
        <v>13</v>
      </c>
      <c r="D68" s="0" t="s">
        <v>77</v>
      </c>
      <c r="E68" s="58" t="str">
        <f aca="false">VLOOKUP(D68,Models!$A$2:$B$13,2,0)</f>
        <v>65-inch QLED TV</v>
      </c>
      <c r="F68" s="0" t="s">
        <v>69</v>
      </c>
      <c r="G68" s="58" t="str">
        <f aca="false">VLOOKUP(F68,Countries!$A$2:$B$11,2,0)</f>
        <v>Egypt</v>
      </c>
      <c r="H68" s="13" t="n">
        <v>5</v>
      </c>
      <c r="I68" s="13" t="n">
        <v>122500</v>
      </c>
      <c r="J68" s="0" t="s">
        <v>12</v>
      </c>
      <c r="K68" s="0" t="s">
        <v>66</v>
      </c>
    </row>
    <row r="69" customFormat="false" ht="12.8" hidden="false" customHeight="false" outlineLevel="0" collapsed="false">
      <c r="A69" s="57" t="n">
        <v>46209</v>
      </c>
      <c r="B69" s="0" t="s">
        <v>152</v>
      </c>
      <c r="C69" s="0" t="s">
        <v>15</v>
      </c>
      <c r="D69" s="0" t="s">
        <v>81</v>
      </c>
      <c r="E69" s="58" t="str">
        <f aca="false">VLOOKUP(D69,Models!$A$2:$B$13,2,0)</f>
        <v>43-inch Smart TV</v>
      </c>
      <c r="F69" s="0" t="s">
        <v>72</v>
      </c>
      <c r="G69" s="58" t="str">
        <f aca="false">VLOOKUP(F69,Countries!$A$2:$B$11,2,0)</f>
        <v>Kenya</v>
      </c>
      <c r="H69" s="13" t="n">
        <v>45</v>
      </c>
      <c r="I69" s="13" t="n">
        <v>351000</v>
      </c>
      <c r="J69" s="0" t="s">
        <v>12</v>
      </c>
      <c r="K69" s="0" t="s">
        <v>66</v>
      </c>
    </row>
    <row r="70" customFormat="false" ht="12.8" hidden="false" customHeight="false" outlineLevel="0" collapsed="false">
      <c r="A70" s="57" t="n">
        <v>46209</v>
      </c>
      <c r="B70" s="0" t="s">
        <v>153</v>
      </c>
      <c r="C70" s="0" t="s">
        <v>15</v>
      </c>
      <c r="D70" s="0" t="s">
        <v>109</v>
      </c>
      <c r="E70" s="58" t="str">
        <f aca="false">VLOOKUP(D70,Models!$A$2:$B$13,2,0)</f>
        <v>55-inch QLED TV</v>
      </c>
      <c r="F70" s="0" t="s">
        <v>69</v>
      </c>
      <c r="G70" s="58" t="str">
        <f aca="false">VLOOKUP(F70,Countries!$A$2:$B$11,2,0)</f>
        <v>Egypt</v>
      </c>
      <c r="H70" s="13" t="n">
        <v>24</v>
      </c>
      <c r="I70" s="13" t="n">
        <v>374400</v>
      </c>
      <c r="J70" s="0" t="s">
        <v>12</v>
      </c>
      <c r="K70" s="0" t="s">
        <v>66</v>
      </c>
    </row>
    <row r="71" customFormat="false" ht="12.8" hidden="false" customHeight="false" outlineLevel="0" collapsed="false">
      <c r="A71" s="57" t="n">
        <v>46209</v>
      </c>
      <c r="B71" s="0" t="s">
        <v>154</v>
      </c>
      <c r="C71" s="0" t="s">
        <v>17</v>
      </c>
      <c r="D71" s="0" t="s">
        <v>90</v>
      </c>
      <c r="E71" s="58" t="str">
        <f aca="false">VLOOKUP(D71,Models!$A$2:$B$13,2,0)</f>
        <v>55-inch 4K TV</v>
      </c>
      <c r="F71" s="0" t="s">
        <v>69</v>
      </c>
      <c r="G71" s="58" t="str">
        <f aca="false">VLOOKUP(F71,Countries!$A$2:$B$11,2,0)</f>
        <v>Egypt</v>
      </c>
      <c r="H71" s="13" t="n">
        <v>21</v>
      </c>
      <c r="I71" s="13" t="n">
        <v>258300</v>
      </c>
      <c r="J71" s="0" t="s">
        <v>12</v>
      </c>
      <c r="K71" s="0" t="s">
        <v>66</v>
      </c>
    </row>
    <row r="72" customFormat="false" ht="12.8" hidden="false" customHeight="false" outlineLevel="0" collapsed="false">
      <c r="A72" s="57" t="n">
        <v>46209</v>
      </c>
      <c r="B72" s="0" t="s">
        <v>155</v>
      </c>
      <c r="C72" s="0" t="s">
        <v>17</v>
      </c>
      <c r="D72" s="0" t="s">
        <v>95</v>
      </c>
      <c r="E72" s="58" t="str">
        <f aca="false">VLOOKUP(D72,Models!$A$2:$B$13,2,0)</f>
        <v>32-inch HD TV</v>
      </c>
      <c r="F72" s="0" t="s">
        <v>69</v>
      </c>
      <c r="G72" s="58" t="str">
        <f aca="false">VLOOKUP(F72,Countries!$A$2:$B$11,2,0)</f>
        <v>Egypt</v>
      </c>
      <c r="H72" s="13" t="n">
        <v>26</v>
      </c>
      <c r="I72" s="13" t="n">
        <v>101400</v>
      </c>
      <c r="J72" s="0" t="s">
        <v>12</v>
      </c>
      <c r="K72" s="0" t="s">
        <v>66</v>
      </c>
    </row>
    <row r="73" customFormat="false" ht="12.8" hidden="false" customHeight="false" outlineLevel="0" collapsed="false">
      <c r="A73" s="57" t="n">
        <v>46209</v>
      </c>
      <c r="B73" s="0" t="s">
        <v>156</v>
      </c>
      <c r="C73" s="0" t="s">
        <v>19</v>
      </c>
      <c r="D73" s="0" t="s">
        <v>90</v>
      </c>
      <c r="E73" s="58" t="str">
        <f aca="false">VLOOKUP(D73,Models!$A$2:$B$13,2,0)</f>
        <v>55-inch 4K TV</v>
      </c>
      <c r="F73" s="0" t="s">
        <v>72</v>
      </c>
      <c r="G73" s="58" t="str">
        <f aca="false">VLOOKUP(F73,Countries!$A$2:$B$11,2,0)</f>
        <v>Kenya</v>
      </c>
      <c r="H73" s="13" t="n">
        <v>32</v>
      </c>
      <c r="I73" s="13" t="n">
        <v>393600</v>
      </c>
      <c r="J73" s="0" t="s">
        <v>12</v>
      </c>
      <c r="K73" s="0" t="s">
        <v>66</v>
      </c>
    </row>
    <row r="74" customFormat="false" ht="12.8" hidden="false" customHeight="false" outlineLevel="0" collapsed="false">
      <c r="A74" s="57" t="n">
        <v>46209</v>
      </c>
      <c r="B74" s="0" t="s">
        <v>157</v>
      </c>
      <c r="C74" s="0" t="s">
        <v>20</v>
      </c>
      <c r="D74" s="0" t="s">
        <v>92</v>
      </c>
      <c r="E74" s="58" t="str">
        <f aca="false">VLOOKUP(D74,Models!$A$2:$B$13,2,0)</f>
        <v>65-inch 4K TV</v>
      </c>
      <c r="F74" s="0" t="s">
        <v>69</v>
      </c>
      <c r="G74" s="58" t="str">
        <f aca="false">VLOOKUP(F74,Countries!$A$2:$B$11,2,0)</f>
        <v>Egypt</v>
      </c>
      <c r="H74" s="13" t="n">
        <v>12</v>
      </c>
      <c r="I74" s="13" t="n">
        <v>237600</v>
      </c>
      <c r="J74" s="0" t="s">
        <v>12</v>
      </c>
      <c r="K74" s="0" t="s">
        <v>66</v>
      </c>
    </row>
    <row r="75" customFormat="false" ht="12.8" hidden="false" customHeight="false" outlineLevel="0" collapsed="false">
      <c r="A75" s="57" t="n">
        <v>46209</v>
      </c>
      <c r="B75" s="0" t="s">
        <v>158</v>
      </c>
      <c r="C75" s="0" t="s">
        <v>20</v>
      </c>
      <c r="D75" s="0" t="s">
        <v>74</v>
      </c>
      <c r="E75" s="58" t="str">
        <f aca="false">VLOOKUP(D75,Models!$A$2:$B$13,2,0)</f>
        <v>40-inch Full HD TV</v>
      </c>
      <c r="F75" s="0" t="s">
        <v>69</v>
      </c>
      <c r="G75" s="58" t="str">
        <f aca="false">VLOOKUP(F75,Countries!$A$2:$B$11,2,0)</f>
        <v>Egypt</v>
      </c>
      <c r="H75" s="13" t="n">
        <v>21</v>
      </c>
      <c r="I75" s="13" t="n">
        <v>130200</v>
      </c>
      <c r="J75" s="0" t="s">
        <v>12</v>
      </c>
      <c r="K75" s="0" t="s">
        <v>66</v>
      </c>
    </row>
    <row r="76" customFormat="false" ht="12.8" hidden="false" customHeight="false" outlineLevel="0" collapsed="false">
      <c r="A76" s="57" t="n">
        <v>46209</v>
      </c>
      <c r="B76" s="0" t="s">
        <v>159</v>
      </c>
      <c r="C76" s="0" t="s">
        <v>20</v>
      </c>
      <c r="D76" s="0" t="s">
        <v>74</v>
      </c>
      <c r="E76" s="58" t="str">
        <f aca="false">VLOOKUP(D76,Models!$A$2:$B$13,2,0)</f>
        <v>40-inch Full HD TV</v>
      </c>
      <c r="F76" s="0" t="s">
        <v>65</v>
      </c>
      <c r="G76" s="58" t="str">
        <f aca="false">VLOOKUP(F76,Countries!$A$2:$B$11,2,0)</f>
        <v>Jordan</v>
      </c>
      <c r="H76" s="13" t="n">
        <v>18</v>
      </c>
      <c r="I76" s="13" t="n">
        <v>111600</v>
      </c>
      <c r="J76" s="0" t="s">
        <v>12</v>
      </c>
      <c r="K76" s="0" t="s">
        <v>66</v>
      </c>
    </row>
    <row r="77" customFormat="false" ht="12.8" hidden="false" customHeight="false" outlineLevel="0" collapsed="false">
      <c r="A77" s="57" t="n">
        <v>46209</v>
      </c>
      <c r="B77" s="0" t="s">
        <v>160</v>
      </c>
      <c r="C77" s="0" t="s">
        <v>21</v>
      </c>
      <c r="D77" s="0" t="s">
        <v>71</v>
      </c>
      <c r="E77" s="58" t="str">
        <f aca="false">VLOOKUP(D77,Models!$A$2:$B$13,2,0)</f>
        <v>43-inch Full HD TV</v>
      </c>
      <c r="F77" s="0" t="s">
        <v>72</v>
      </c>
      <c r="G77" s="58" t="str">
        <f aca="false">VLOOKUP(F77,Countries!$A$2:$B$11,2,0)</f>
        <v>Kenya</v>
      </c>
      <c r="H77" s="13" t="n">
        <v>8</v>
      </c>
      <c r="I77" s="13" t="n">
        <v>55200</v>
      </c>
      <c r="J77" s="0" t="s">
        <v>12</v>
      </c>
      <c r="K77" s="0" t="s">
        <v>66</v>
      </c>
    </row>
    <row r="78" customFormat="false" ht="12.8" hidden="false" customHeight="false" outlineLevel="0" collapsed="false">
      <c r="A78" s="57" t="n">
        <v>46210</v>
      </c>
      <c r="B78" s="0" t="s">
        <v>161</v>
      </c>
      <c r="C78" s="0" t="s">
        <v>13</v>
      </c>
      <c r="D78" s="0" t="s">
        <v>109</v>
      </c>
      <c r="E78" s="58" t="str">
        <f aca="false">VLOOKUP(D78,Models!$A$2:$B$13,2,0)</f>
        <v>55-inch QLED TV</v>
      </c>
      <c r="F78" s="0" t="s">
        <v>98</v>
      </c>
      <c r="G78" s="58" t="str">
        <f aca="false">VLOOKUP(F78,Countries!$A$2:$B$11,2,0)</f>
        <v>Libya</v>
      </c>
      <c r="H78" s="13" t="n">
        <v>31</v>
      </c>
      <c r="I78" s="13" t="n">
        <v>483600</v>
      </c>
      <c r="J78" s="0" t="s">
        <v>12</v>
      </c>
      <c r="K78" s="0" t="s">
        <v>66</v>
      </c>
    </row>
    <row r="79" customFormat="false" ht="12.8" hidden="false" customHeight="false" outlineLevel="0" collapsed="false">
      <c r="A79" s="57" t="n">
        <v>46210</v>
      </c>
      <c r="B79" s="0" t="s">
        <v>162</v>
      </c>
      <c r="C79" s="0" t="s">
        <v>15</v>
      </c>
      <c r="D79" s="0" t="s">
        <v>90</v>
      </c>
      <c r="E79" s="58" t="str">
        <f aca="false">VLOOKUP(D79,Models!$A$2:$B$13,2,0)</f>
        <v>55-inch 4K TV</v>
      </c>
      <c r="F79" s="0" t="s">
        <v>103</v>
      </c>
      <c r="G79" s="58" t="str">
        <f aca="false">VLOOKUP(F79,Countries!$A$2:$B$11,2,0)</f>
        <v>Morocco</v>
      </c>
      <c r="H79" s="13" t="n">
        <v>30</v>
      </c>
      <c r="I79" s="13" t="n">
        <v>369000</v>
      </c>
      <c r="J79" s="0" t="s">
        <v>12</v>
      </c>
      <c r="K79" s="0" t="s">
        <v>66</v>
      </c>
    </row>
    <row r="80" customFormat="false" ht="12.8" hidden="false" customHeight="false" outlineLevel="0" collapsed="false">
      <c r="A80" s="57" t="n">
        <v>46210</v>
      </c>
      <c r="B80" s="0" t="s">
        <v>163</v>
      </c>
      <c r="C80" s="0" t="s">
        <v>15</v>
      </c>
      <c r="D80" s="0" t="s">
        <v>77</v>
      </c>
      <c r="E80" s="58" t="str">
        <f aca="false">VLOOKUP(D80,Models!$A$2:$B$13,2,0)</f>
        <v>65-inch QLED TV</v>
      </c>
      <c r="F80" s="0" t="s">
        <v>69</v>
      </c>
      <c r="G80" s="58" t="str">
        <f aca="false">VLOOKUP(F80,Countries!$A$2:$B$11,2,0)</f>
        <v>Egypt</v>
      </c>
      <c r="H80" s="13" t="n">
        <v>10</v>
      </c>
      <c r="I80" s="13" t="n">
        <v>245000</v>
      </c>
      <c r="J80" s="0" t="s">
        <v>12</v>
      </c>
      <c r="K80" s="0" t="s">
        <v>66</v>
      </c>
    </row>
    <row r="81" customFormat="false" ht="12.8" hidden="false" customHeight="false" outlineLevel="0" collapsed="false">
      <c r="A81" s="57" t="n">
        <v>46210</v>
      </c>
      <c r="B81" s="0" t="s">
        <v>164</v>
      </c>
      <c r="C81" s="0" t="s">
        <v>15</v>
      </c>
      <c r="D81" s="0" t="s">
        <v>95</v>
      </c>
      <c r="E81" s="58" t="str">
        <f aca="false">VLOOKUP(D81,Models!$A$2:$B$13,2,0)</f>
        <v>32-inch HD TV</v>
      </c>
      <c r="F81" s="0" t="s">
        <v>103</v>
      </c>
      <c r="G81" s="58" t="str">
        <f aca="false">VLOOKUP(F81,Countries!$A$2:$B$11,2,0)</f>
        <v>Morocco</v>
      </c>
      <c r="H81" s="13" t="n">
        <v>29</v>
      </c>
      <c r="I81" s="13" t="n">
        <v>113100</v>
      </c>
      <c r="J81" s="0" t="s">
        <v>12</v>
      </c>
      <c r="K81" s="0" t="s">
        <v>66</v>
      </c>
    </row>
    <row r="82" customFormat="false" ht="12.8" hidden="false" customHeight="false" outlineLevel="0" collapsed="false">
      <c r="A82" s="57" t="n">
        <v>46210</v>
      </c>
      <c r="B82" s="0" t="s">
        <v>165</v>
      </c>
      <c r="C82" s="0" t="s">
        <v>15</v>
      </c>
      <c r="D82" s="0" t="s">
        <v>74</v>
      </c>
      <c r="E82" s="58" t="str">
        <f aca="false">VLOOKUP(D82,Models!$A$2:$B$13,2,0)</f>
        <v>40-inch Full HD TV</v>
      </c>
      <c r="F82" s="0" t="s">
        <v>69</v>
      </c>
      <c r="G82" s="58" t="str">
        <f aca="false">VLOOKUP(F82,Countries!$A$2:$B$11,2,0)</f>
        <v>Egypt</v>
      </c>
      <c r="H82" s="13" t="n">
        <v>19</v>
      </c>
      <c r="I82" s="13" t="n">
        <v>117800</v>
      </c>
      <c r="J82" s="0" t="s">
        <v>12</v>
      </c>
      <c r="K82" s="0" t="s">
        <v>66</v>
      </c>
    </row>
    <row r="83" customFormat="false" ht="12.8" hidden="false" customHeight="false" outlineLevel="0" collapsed="false">
      <c r="A83" s="57" t="n">
        <v>46210</v>
      </c>
      <c r="B83" s="0" t="s">
        <v>166</v>
      </c>
      <c r="C83" s="0" t="s">
        <v>17</v>
      </c>
      <c r="D83" s="0" t="s">
        <v>92</v>
      </c>
      <c r="E83" s="58" t="str">
        <f aca="false">VLOOKUP(D83,Models!$A$2:$B$13,2,0)</f>
        <v>65-inch 4K TV</v>
      </c>
      <c r="F83" s="0" t="s">
        <v>69</v>
      </c>
      <c r="G83" s="58" t="str">
        <f aca="false">VLOOKUP(F83,Countries!$A$2:$B$11,2,0)</f>
        <v>Egypt</v>
      </c>
      <c r="H83" s="13" t="n">
        <v>5</v>
      </c>
      <c r="I83" s="13" t="n">
        <v>99000</v>
      </c>
      <c r="J83" s="0" t="s">
        <v>12</v>
      </c>
      <c r="K83" s="0" t="s">
        <v>66</v>
      </c>
    </row>
    <row r="84" customFormat="false" ht="12.8" hidden="false" customHeight="false" outlineLevel="0" collapsed="false">
      <c r="A84" s="57" t="n">
        <v>46210</v>
      </c>
      <c r="B84" s="0" t="s">
        <v>167</v>
      </c>
      <c r="C84" s="0" t="s">
        <v>17</v>
      </c>
      <c r="D84" s="0" t="s">
        <v>95</v>
      </c>
      <c r="E84" s="58" t="str">
        <f aca="false">VLOOKUP(D84,Models!$A$2:$B$13,2,0)</f>
        <v>32-inch HD TV</v>
      </c>
      <c r="F84" s="0" t="s">
        <v>69</v>
      </c>
      <c r="G84" s="58" t="str">
        <f aca="false">VLOOKUP(F84,Countries!$A$2:$B$11,2,0)</f>
        <v>Egypt</v>
      </c>
      <c r="H84" s="13" t="n">
        <v>10</v>
      </c>
      <c r="I84" s="13" t="n">
        <v>39000</v>
      </c>
      <c r="J84" s="0" t="s">
        <v>12</v>
      </c>
      <c r="K84" s="0" t="s">
        <v>66</v>
      </c>
    </row>
    <row r="85" customFormat="false" ht="12.8" hidden="false" customHeight="false" outlineLevel="0" collapsed="false">
      <c r="A85" s="57" t="n">
        <v>46210</v>
      </c>
      <c r="B85" s="0" t="s">
        <v>168</v>
      </c>
      <c r="C85" s="0" t="s">
        <v>17</v>
      </c>
      <c r="D85" s="0" t="s">
        <v>85</v>
      </c>
      <c r="E85" s="58" t="str">
        <f aca="false">VLOOKUP(D85,Models!$A$2:$B$13,2,0)</f>
        <v>75-inch 4K TV</v>
      </c>
      <c r="F85" s="0" t="s">
        <v>69</v>
      </c>
      <c r="G85" s="58" t="str">
        <f aca="false">VLOOKUP(F85,Countries!$A$2:$B$11,2,0)</f>
        <v>Egypt</v>
      </c>
      <c r="H85" s="13" t="n">
        <v>5</v>
      </c>
      <c r="I85" s="13" t="n">
        <v>156000</v>
      </c>
      <c r="J85" s="0" t="s">
        <v>12</v>
      </c>
      <c r="K85" s="0" t="s">
        <v>66</v>
      </c>
    </row>
    <row r="86" customFormat="false" ht="12.8" hidden="false" customHeight="false" outlineLevel="0" collapsed="false">
      <c r="A86" s="57" t="n">
        <v>46210</v>
      </c>
      <c r="B86" s="0" t="s">
        <v>169</v>
      </c>
      <c r="C86" s="0" t="s">
        <v>17</v>
      </c>
      <c r="D86" s="0" t="s">
        <v>81</v>
      </c>
      <c r="E86" s="58" t="str">
        <f aca="false">VLOOKUP(D86,Models!$A$2:$B$13,2,0)</f>
        <v>43-inch Smart TV</v>
      </c>
      <c r="F86" s="0" t="s">
        <v>69</v>
      </c>
      <c r="G86" s="58" t="str">
        <f aca="false">VLOOKUP(F86,Countries!$A$2:$B$11,2,0)</f>
        <v>Egypt</v>
      </c>
      <c r="H86" s="13" t="n">
        <v>16</v>
      </c>
      <c r="I86" s="13" t="n">
        <v>124800</v>
      </c>
      <c r="J86" s="0" t="s">
        <v>12</v>
      </c>
      <c r="K86" s="0" t="s">
        <v>66</v>
      </c>
    </row>
    <row r="87" customFormat="false" ht="12.8" hidden="false" customHeight="false" outlineLevel="0" collapsed="false">
      <c r="A87" s="57" t="n">
        <v>46210</v>
      </c>
      <c r="B87" s="0" t="s">
        <v>170</v>
      </c>
      <c r="C87" s="0" t="s">
        <v>19</v>
      </c>
      <c r="D87" s="0" t="s">
        <v>77</v>
      </c>
      <c r="E87" s="58" t="str">
        <f aca="false">VLOOKUP(D87,Models!$A$2:$B$13,2,0)</f>
        <v>65-inch QLED TV</v>
      </c>
      <c r="F87" s="0" t="s">
        <v>69</v>
      </c>
      <c r="G87" s="58" t="str">
        <f aca="false">VLOOKUP(F87,Countries!$A$2:$B$11,2,0)</f>
        <v>Egypt</v>
      </c>
      <c r="H87" s="13" t="n">
        <v>16</v>
      </c>
      <c r="I87" s="13" t="n">
        <v>392000</v>
      </c>
      <c r="J87" s="0" t="s">
        <v>12</v>
      </c>
      <c r="K87" s="0" t="s">
        <v>66</v>
      </c>
    </row>
    <row r="88" customFormat="false" ht="12.8" hidden="false" customHeight="false" outlineLevel="0" collapsed="false">
      <c r="A88" s="57" t="n">
        <v>46210</v>
      </c>
      <c r="B88" s="0" t="s">
        <v>171</v>
      </c>
      <c r="C88" s="0" t="s">
        <v>20</v>
      </c>
      <c r="D88" s="0" t="s">
        <v>95</v>
      </c>
      <c r="E88" s="58" t="str">
        <f aca="false">VLOOKUP(D88,Models!$A$2:$B$13,2,0)</f>
        <v>32-inch HD TV</v>
      </c>
      <c r="F88" s="0" t="s">
        <v>65</v>
      </c>
      <c r="G88" s="58" t="str">
        <f aca="false">VLOOKUP(F88,Countries!$A$2:$B$11,2,0)</f>
        <v>Jordan</v>
      </c>
      <c r="H88" s="13" t="n">
        <v>11</v>
      </c>
      <c r="I88" s="13" t="n">
        <v>42900</v>
      </c>
      <c r="J88" s="0" t="s">
        <v>12</v>
      </c>
      <c r="K88" s="0" t="s">
        <v>66</v>
      </c>
    </row>
    <row r="89" customFormat="false" ht="12.8" hidden="false" customHeight="false" outlineLevel="0" collapsed="false">
      <c r="A89" s="57" t="n">
        <v>46210</v>
      </c>
      <c r="B89" s="0" t="s">
        <v>172</v>
      </c>
      <c r="C89" s="0" t="s">
        <v>20</v>
      </c>
      <c r="D89" s="0" t="s">
        <v>77</v>
      </c>
      <c r="E89" s="58" t="str">
        <f aca="false">VLOOKUP(D89,Models!$A$2:$B$13,2,0)</f>
        <v>65-inch QLED TV</v>
      </c>
      <c r="F89" s="0" t="s">
        <v>69</v>
      </c>
      <c r="G89" s="58" t="str">
        <f aca="false">VLOOKUP(F89,Countries!$A$2:$B$11,2,0)</f>
        <v>Egypt</v>
      </c>
      <c r="H89" s="13" t="n">
        <v>19</v>
      </c>
      <c r="I89" s="13" t="n">
        <v>465500</v>
      </c>
      <c r="J89" s="0" t="s">
        <v>12</v>
      </c>
      <c r="K89" s="0" t="s">
        <v>66</v>
      </c>
    </row>
    <row r="90" customFormat="false" ht="12.8" hidden="false" customHeight="false" outlineLevel="0" collapsed="false">
      <c r="A90" s="57" t="n">
        <v>46210</v>
      </c>
      <c r="B90" s="0" t="s">
        <v>173</v>
      </c>
      <c r="C90" s="0" t="s">
        <v>20</v>
      </c>
      <c r="D90" s="0" t="s">
        <v>77</v>
      </c>
      <c r="E90" s="58" t="str">
        <f aca="false">VLOOKUP(D90,Models!$A$2:$B$13,2,0)</f>
        <v>65-inch QLED TV</v>
      </c>
      <c r="F90" s="0" t="s">
        <v>69</v>
      </c>
      <c r="G90" s="58" t="str">
        <f aca="false">VLOOKUP(F90,Countries!$A$2:$B$11,2,0)</f>
        <v>Egypt</v>
      </c>
      <c r="H90" s="13" t="n">
        <v>10</v>
      </c>
      <c r="I90" s="13" t="n">
        <v>245000</v>
      </c>
      <c r="J90" s="0" t="s">
        <v>12</v>
      </c>
      <c r="K90" s="0" t="s">
        <v>66</v>
      </c>
    </row>
    <row r="91" customFormat="false" ht="12.8" hidden="false" customHeight="false" outlineLevel="0" collapsed="false">
      <c r="A91" s="57" t="n">
        <v>46210</v>
      </c>
      <c r="B91" s="0" t="s">
        <v>174</v>
      </c>
      <c r="C91" s="0" t="s">
        <v>21</v>
      </c>
      <c r="D91" s="0" t="s">
        <v>90</v>
      </c>
      <c r="E91" s="58" t="str">
        <f aca="false">VLOOKUP(D91,Models!$A$2:$B$13,2,0)</f>
        <v>55-inch 4K TV</v>
      </c>
      <c r="F91" s="0" t="s">
        <v>79</v>
      </c>
      <c r="G91" s="58" t="str">
        <f aca="false">VLOOKUP(F91,Countries!$A$2:$B$11,2,0)</f>
        <v>Iraq</v>
      </c>
      <c r="H91" s="13" t="n">
        <v>5</v>
      </c>
      <c r="I91" s="13" t="n">
        <v>61500</v>
      </c>
      <c r="J91" s="0" t="s">
        <v>12</v>
      </c>
      <c r="K91" s="0" t="s">
        <v>66</v>
      </c>
    </row>
    <row r="92" customFormat="false" ht="12.8" hidden="false" customHeight="false" outlineLevel="0" collapsed="false">
      <c r="A92" s="57" t="n">
        <v>46210</v>
      </c>
      <c r="B92" s="0" t="s">
        <v>175</v>
      </c>
      <c r="C92" s="0" t="s">
        <v>21</v>
      </c>
      <c r="D92" s="0" t="s">
        <v>71</v>
      </c>
      <c r="E92" s="58" t="str">
        <f aca="false">VLOOKUP(D92,Models!$A$2:$B$13,2,0)</f>
        <v>43-inch Full HD TV</v>
      </c>
      <c r="F92" s="0" t="s">
        <v>69</v>
      </c>
      <c r="G92" s="58" t="str">
        <f aca="false">VLOOKUP(F92,Countries!$A$2:$B$11,2,0)</f>
        <v>Egypt</v>
      </c>
      <c r="H92" s="13" t="n">
        <v>41</v>
      </c>
      <c r="I92" s="13" t="n">
        <v>282900</v>
      </c>
      <c r="J92" s="0" t="s">
        <v>12</v>
      </c>
      <c r="K92" s="0" t="s">
        <v>66</v>
      </c>
    </row>
    <row r="93" customFormat="false" ht="12.8" hidden="false" customHeight="false" outlineLevel="0" collapsed="false">
      <c r="A93" s="57" t="n">
        <v>46211</v>
      </c>
      <c r="B93" s="0" t="s">
        <v>176</v>
      </c>
      <c r="C93" s="0" t="s">
        <v>13</v>
      </c>
      <c r="D93" s="0" t="s">
        <v>68</v>
      </c>
      <c r="E93" s="58" t="str">
        <f aca="false">VLOOKUP(D93,Models!$A$2:$B$13,2,0)</f>
        <v>50-inch 4K TV</v>
      </c>
      <c r="F93" s="0" t="s">
        <v>177</v>
      </c>
      <c r="G93" s="58" t="str">
        <f aca="false">VLOOKUP(F93,Countries!$A$2:$B$11,2,0)</f>
        <v>Saudi Arabia</v>
      </c>
      <c r="H93" s="13" t="n">
        <v>22</v>
      </c>
      <c r="I93" s="13" t="n">
        <v>228800</v>
      </c>
      <c r="J93" s="0" t="s">
        <v>12</v>
      </c>
      <c r="K93" s="0" t="s">
        <v>178</v>
      </c>
    </row>
    <row r="94" customFormat="false" ht="12.8" hidden="false" customHeight="false" outlineLevel="0" collapsed="false">
      <c r="A94" s="57" t="n">
        <v>46211</v>
      </c>
      <c r="B94" s="0" t="s">
        <v>179</v>
      </c>
      <c r="C94" s="0" t="s">
        <v>15</v>
      </c>
      <c r="D94" s="0" t="s">
        <v>88</v>
      </c>
      <c r="E94" s="58" t="str">
        <f aca="false">VLOOKUP(D94,Models!$A$2:$B$13,2,0)</f>
        <v>24-inch HD TV</v>
      </c>
      <c r="F94" s="0" t="s">
        <v>69</v>
      </c>
      <c r="G94" s="58" t="str">
        <f aca="false">VLOOKUP(F94,Countries!$A$2:$B$11,2,0)</f>
        <v>Egypt</v>
      </c>
      <c r="H94" s="13" t="n">
        <v>6</v>
      </c>
      <c r="I94" s="13" t="n">
        <v>17400</v>
      </c>
      <c r="J94" s="0" t="s">
        <v>12</v>
      </c>
      <c r="K94" s="0" t="s">
        <v>178</v>
      </c>
    </row>
    <row r="95" customFormat="false" ht="12.8" hidden="false" customHeight="false" outlineLevel="0" collapsed="false">
      <c r="A95" s="57" t="n">
        <v>46211</v>
      </c>
      <c r="B95" s="0" t="s">
        <v>180</v>
      </c>
      <c r="C95" s="0" t="s">
        <v>15</v>
      </c>
      <c r="D95" s="0" t="s">
        <v>92</v>
      </c>
      <c r="E95" s="58" t="str">
        <f aca="false">VLOOKUP(D95,Models!$A$2:$B$13,2,0)</f>
        <v>65-inch 4K TV</v>
      </c>
      <c r="F95" s="0" t="s">
        <v>103</v>
      </c>
      <c r="G95" s="58" t="str">
        <f aca="false">VLOOKUP(F95,Countries!$A$2:$B$11,2,0)</f>
        <v>Morocco</v>
      </c>
      <c r="H95" s="13" t="n">
        <v>11</v>
      </c>
      <c r="I95" s="13" t="n">
        <v>217800</v>
      </c>
      <c r="J95" s="0" t="s">
        <v>12</v>
      </c>
      <c r="K95" s="0" t="s">
        <v>178</v>
      </c>
    </row>
    <row r="96" customFormat="false" ht="12.8" hidden="false" customHeight="false" outlineLevel="0" collapsed="false">
      <c r="A96" s="57" t="n">
        <v>46211</v>
      </c>
      <c r="B96" s="0" t="s">
        <v>181</v>
      </c>
      <c r="C96" s="0" t="s">
        <v>15</v>
      </c>
      <c r="D96" s="0" t="s">
        <v>81</v>
      </c>
      <c r="E96" s="58" t="str">
        <f aca="false">VLOOKUP(D96,Models!$A$2:$B$13,2,0)</f>
        <v>43-inch Smart TV</v>
      </c>
      <c r="F96" s="0" t="s">
        <v>83</v>
      </c>
      <c r="G96" s="58" t="str">
        <f aca="false">VLOOKUP(F96,Countries!$A$2:$B$11,2,0)</f>
        <v>United Arab Emirates</v>
      </c>
      <c r="H96" s="13" t="n">
        <v>26</v>
      </c>
      <c r="I96" s="13" t="n">
        <v>202800</v>
      </c>
      <c r="J96" s="0" t="s">
        <v>12</v>
      </c>
      <c r="K96" s="0" t="s">
        <v>178</v>
      </c>
    </row>
    <row r="97" customFormat="false" ht="12.8" hidden="false" customHeight="false" outlineLevel="0" collapsed="false">
      <c r="A97" s="57" t="n">
        <v>46211</v>
      </c>
      <c r="B97" s="0" t="s">
        <v>182</v>
      </c>
      <c r="C97" s="0" t="s">
        <v>15</v>
      </c>
      <c r="D97" s="0" t="s">
        <v>64</v>
      </c>
      <c r="E97" s="58" t="str">
        <f aca="false">VLOOKUP(D97,Models!$A$2:$B$13,2,0)</f>
        <v>32-inch Smart TV</v>
      </c>
      <c r="F97" s="0" t="s">
        <v>79</v>
      </c>
      <c r="G97" s="58" t="str">
        <f aca="false">VLOOKUP(F97,Countries!$A$2:$B$11,2,0)</f>
        <v>Iraq</v>
      </c>
      <c r="H97" s="13" t="n">
        <v>48</v>
      </c>
      <c r="I97" s="13" t="n">
        <v>220800</v>
      </c>
      <c r="J97" s="0" t="s">
        <v>12</v>
      </c>
      <c r="K97" s="0" t="s">
        <v>178</v>
      </c>
    </row>
    <row r="98" customFormat="false" ht="12.8" hidden="false" customHeight="false" outlineLevel="0" collapsed="false">
      <c r="A98" s="57" t="n">
        <v>46211</v>
      </c>
      <c r="B98" s="0" t="s">
        <v>183</v>
      </c>
      <c r="C98" s="0" t="s">
        <v>15</v>
      </c>
      <c r="D98" s="0" t="s">
        <v>71</v>
      </c>
      <c r="E98" s="58" t="str">
        <f aca="false">VLOOKUP(D98,Models!$A$2:$B$13,2,0)</f>
        <v>43-inch Full HD TV</v>
      </c>
      <c r="F98" s="0" t="s">
        <v>83</v>
      </c>
      <c r="G98" s="58" t="str">
        <f aca="false">VLOOKUP(F98,Countries!$A$2:$B$11,2,0)</f>
        <v>United Arab Emirates</v>
      </c>
      <c r="H98" s="13" t="n">
        <v>7</v>
      </c>
      <c r="I98" s="13" t="n">
        <v>48300</v>
      </c>
      <c r="J98" s="0" t="s">
        <v>12</v>
      </c>
      <c r="K98" s="0" t="s">
        <v>178</v>
      </c>
    </row>
    <row r="99" customFormat="false" ht="12.8" hidden="false" customHeight="false" outlineLevel="0" collapsed="false">
      <c r="A99" s="57" t="n">
        <v>46211</v>
      </c>
      <c r="B99" s="0" t="s">
        <v>184</v>
      </c>
      <c r="C99" s="0" t="s">
        <v>17</v>
      </c>
      <c r="D99" s="0" t="s">
        <v>92</v>
      </c>
      <c r="E99" s="58" t="str">
        <f aca="false">VLOOKUP(D99,Models!$A$2:$B$13,2,0)</f>
        <v>65-inch 4K TV</v>
      </c>
      <c r="F99" s="0" t="s">
        <v>177</v>
      </c>
      <c r="G99" s="58" t="str">
        <f aca="false">VLOOKUP(F99,Countries!$A$2:$B$11,2,0)</f>
        <v>Saudi Arabia</v>
      </c>
      <c r="H99" s="13" t="n">
        <v>12</v>
      </c>
      <c r="I99" s="13" t="n">
        <v>237600</v>
      </c>
      <c r="J99" s="0" t="s">
        <v>12</v>
      </c>
      <c r="K99" s="0" t="s">
        <v>178</v>
      </c>
    </row>
    <row r="100" customFormat="false" ht="12.8" hidden="false" customHeight="false" outlineLevel="0" collapsed="false">
      <c r="A100" s="57" t="n">
        <v>46211</v>
      </c>
      <c r="B100" s="0" t="s">
        <v>185</v>
      </c>
      <c r="C100" s="0" t="s">
        <v>17</v>
      </c>
      <c r="D100" s="0" t="s">
        <v>77</v>
      </c>
      <c r="E100" s="58" t="str">
        <f aca="false">VLOOKUP(D100,Models!$A$2:$B$13,2,0)</f>
        <v>65-inch QLED TV</v>
      </c>
      <c r="F100" s="0" t="s">
        <v>69</v>
      </c>
      <c r="G100" s="58" t="str">
        <f aca="false">VLOOKUP(F100,Countries!$A$2:$B$11,2,0)</f>
        <v>Egypt</v>
      </c>
      <c r="H100" s="13" t="n">
        <v>9</v>
      </c>
      <c r="I100" s="13" t="n">
        <v>220500</v>
      </c>
      <c r="J100" s="0" t="s">
        <v>12</v>
      </c>
      <c r="K100" s="0" t="s">
        <v>178</v>
      </c>
    </row>
    <row r="101" customFormat="false" ht="12.8" hidden="false" customHeight="false" outlineLevel="0" collapsed="false">
      <c r="A101" s="57" t="n">
        <v>46211</v>
      </c>
      <c r="B101" s="0" t="s">
        <v>186</v>
      </c>
      <c r="C101" s="0" t="s">
        <v>17</v>
      </c>
      <c r="D101" s="0" t="s">
        <v>77</v>
      </c>
      <c r="E101" s="58" t="str">
        <f aca="false">VLOOKUP(D101,Models!$A$2:$B$13,2,0)</f>
        <v>65-inch QLED TV</v>
      </c>
      <c r="F101" s="0" t="s">
        <v>72</v>
      </c>
      <c r="G101" s="58" t="str">
        <f aca="false">VLOOKUP(F101,Countries!$A$2:$B$11,2,0)</f>
        <v>Kenya</v>
      </c>
      <c r="H101" s="13" t="n">
        <v>14</v>
      </c>
      <c r="I101" s="13" t="n">
        <v>343000</v>
      </c>
      <c r="J101" s="0" t="s">
        <v>12</v>
      </c>
      <c r="K101" s="0" t="s">
        <v>178</v>
      </c>
    </row>
    <row r="102" customFormat="false" ht="12.8" hidden="false" customHeight="false" outlineLevel="0" collapsed="false">
      <c r="A102" s="57" t="n">
        <v>46211</v>
      </c>
      <c r="B102" s="0" t="s">
        <v>187</v>
      </c>
      <c r="C102" s="0" t="s">
        <v>17</v>
      </c>
      <c r="D102" s="0" t="s">
        <v>68</v>
      </c>
      <c r="E102" s="58" t="str">
        <f aca="false">VLOOKUP(D102,Models!$A$2:$B$13,2,0)</f>
        <v>50-inch 4K TV</v>
      </c>
      <c r="F102" s="0" t="s">
        <v>83</v>
      </c>
      <c r="G102" s="58" t="str">
        <f aca="false">VLOOKUP(F102,Countries!$A$2:$B$11,2,0)</f>
        <v>United Arab Emirates</v>
      </c>
      <c r="H102" s="13" t="n">
        <v>6</v>
      </c>
      <c r="I102" s="13" t="n">
        <v>62400</v>
      </c>
      <c r="J102" s="0" t="s">
        <v>12</v>
      </c>
      <c r="K102" s="0" t="s">
        <v>178</v>
      </c>
    </row>
    <row r="103" customFormat="false" ht="12.8" hidden="false" customHeight="false" outlineLevel="0" collapsed="false">
      <c r="A103" s="57" t="n">
        <v>46211</v>
      </c>
      <c r="B103" s="0" t="s">
        <v>188</v>
      </c>
      <c r="C103" s="0" t="s">
        <v>17</v>
      </c>
      <c r="D103" s="0" t="s">
        <v>64</v>
      </c>
      <c r="E103" s="58" t="str">
        <f aca="false">VLOOKUP(D103,Models!$A$2:$B$13,2,0)</f>
        <v>32-inch Smart TV</v>
      </c>
      <c r="F103" s="0" t="s">
        <v>177</v>
      </c>
      <c r="G103" s="58" t="str">
        <f aca="false">VLOOKUP(F103,Countries!$A$2:$B$11,2,0)</f>
        <v>Saudi Arabia</v>
      </c>
      <c r="H103" s="13" t="n">
        <v>59</v>
      </c>
      <c r="I103" s="13" t="n">
        <v>271400</v>
      </c>
      <c r="J103" s="0" t="s">
        <v>12</v>
      </c>
      <c r="K103" s="0" t="s">
        <v>178</v>
      </c>
    </row>
    <row r="104" customFormat="false" ht="12.8" hidden="false" customHeight="false" outlineLevel="0" collapsed="false">
      <c r="A104" s="57" t="n">
        <v>46211</v>
      </c>
      <c r="B104" s="0" t="s">
        <v>189</v>
      </c>
      <c r="C104" s="0" t="s">
        <v>19</v>
      </c>
      <c r="D104" s="0" t="s">
        <v>95</v>
      </c>
      <c r="E104" s="58" t="str">
        <f aca="false">VLOOKUP(D104,Models!$A$2:$B$13,2,0)</f>
        <v>32-inch HD TV</v>
      </c>
      <c r="F104" s="0" t="s">
        <v>79</v>
      </c>
      <c r="G104" s="58" t="str">
        <f aca="false">VLOOKUP(F104,Countries!$A$2:$B$11,2,0)</f>
        <v>Iraq</v>
      </c>
      <c r="H104" s="13" t="n">
        <v>38</v>
      </c>
      <c r="I104" s="13" t="n">
        <v>148200</v>
      </c>
      <c r="J104" s="0" t="s">
        <v>12</v>
      </c>
      <c r="K104" s="0" t="s">
        <v>178</v>
      </c>
    </row>
    <row r="105" customFormat="false" ht="12.8" hidden="false" customHeight="false" outlineLevel="0" collapsed="false">
      <c r="A105" s="57" t="n">
        <v>46211</v>
      </c>
      <c r="B105" s="0" t="s">
        <v>190</v>
      </c>
      <c r="C105" s="0" t="s">
        <v>19</v>
      </c>
      <c r="D105" s="0" t="s">
        <v>68</v>
      </c>
      <c r="E105" s="58" t="str">
        <f aca="false">VLOOKUP(D105,Models!$A$2:$B$13,2,0)</f>
        <v>50-inch 4K TV</v>
      </c>
      <c r="F105" s="0" t="s">
        <v>72</v>
      </c>
      <c r="G105" s="58" t="str">
        <f aca="false">VLOOKUP(F105,Countries!$A$2:$B$11,2,0)</f>
        <v>Kenya</v>
      </c>
      <c r="H105" s="13" t="n">
        <v>34</v>
      </c>
      <c r="I105" s="13" t="n">
        <v>353600</v>
      </c>
      <c r="J105" s="0" t="s">
        <v>12</v>
      </c>
      <c r="K105" s="0" t="s">
        <v>178</v>
      </c>
    </row>
    <row r="106" customFormat="false" ht="12.8" hidden="false" customHeight="false" outlineLevel="0" collapsed="false">
      <c r="A106" s="57" t="n">
        <v>46211</v>
      </c>
      <c r="B106" s="0" t="s">
        <v>191</v>
      </c>
      <c r="C106" s="0" t="s">
        <v>20</v>
      </c>
      <c r="D106" s="0" t="s">
        <v>74</v>
      </c>
      <c r="E106" s="58" t="str">
        <f aca="false">VLOOKUP(D106,Models!$A$2:$B$13,2,0)</f>
        <v>40-inch Full HD TV</v>
      </c>
      <c r="F106" s="0" t="s">
        <v>69</v>
      </c>
      <c r="G106" s="58" t="str">
        <f aca="false">VLOOKUP(F106,Countries!$A$2:$B$11,2,0)</f>
        <v>Egypt</v>
      </c>
      <c r="H106" s="13" t="n">
        <v>9</v>
      </c>
      <c r="I106" s="13" t="n">
        <v>55800</v>
      </c>
      <c r="J106" s="0" t="s">
        <v>12</v>
      </c>
      <c r="K106" s="0" t="s">
        <v>178</v>
      </c>
    </row>
    <row r="107" customFormat="false" ht="12.8" hidden="false" customHeight="false" outlineLevel="0" collapsed="false">
      <c r="A107" s="57" t="n">
        <v>46211</v>
      </c>
      <c r="B107" s="0" t="s">
        <v>192</v>
      </c>
      <c r="C107" s="0" t="s">
        <v>20</v>
      </c>
      <c r="D107" s="0" t="s">
        <v>92</v>
      </c>
      <c r="E107" s="58" t="str">
        <f aca="false">VLOOKUP(D107,Models!$A$2:$B$13,2,0)</f>
        <v>65-inch 4K TV</v>
      </c>
      <c r="F107" s="0" t="s">
        <v>101</v>
      </c>
      <c r="G107" s="58" t="str">
        <f aca="false">VLOOKUP(F107,Countries!$A$2:$B$11,2,0)</f>
        <v>Kuwait</v>
      </c>
      <c r="H107" s="13" t="n">
        <v>21</v>
      </c>
      <c r="I107" s="13" t="n">
        <v>415800</v>
      </c>
      <c r="J107" s="0" t="s">
        <v>12</v>
      </c>
      <c r="K107" s="0" t="s">
        <v>178</v>
      </c>
    </row>
    <row r="108" customFormat="false" ht="12.8" hidden="false" customHeight="false" outlineLevel="0" collapsed="false">
      <c r="A108" s="57" t="n">
        <v>46211</v>
      </c>
      <c r="B108" s="0" t="s">
        <v>193</v>
      </c>
      <c r="C108" s="0" t="s">
        <v>21</v>
      </c>
      <c r="D108" s="0" t="s">
        <v>85</v>
      </c>
      <c r="E108" s="58" t="str">
        <f aca="false">VLOOKUP(D108,Models!$A$2:$B$13,2,0)</f>
        <v>75-inch 4K TV</v>
      </c>
      <c r="F108" s="0" t="s">
        <v>103</v>
      </c>
      <c r="G108" s="58" t="str">
        <f aca="false">VLOOKUP(F108,Countries!$A$2:$B$11,2,0)</f>
        <v>Morocco</v>
      </c>
      <c r="H108" s="13" t="n">
        <v>14</v>
      </c>
      <c r="I108" s="13" t="n">
        <v>436800</v>
      </c>
      <c r="J108" s="0" t="s">
        <v>12</v>
      </c>
      <c r="K108" s="0" t="s">
        <v>178</v>
      </c>
    </row>
    <row r="109" customFormat="false" ht="12.8" hidden="false" customHeight="false" outlineLevel="0" collapsed="false">
      <c r="A109" s="57" t="n">
        <v>46212</v>
      </c>
      <c r="B109" s="0" t="s">
        <v>194</v>
      </c>
      <c r="C109" s="0" t="s">
        <v>13</v>
      </c>
      <c r="D109" s="0" t="s">
        <v>88</v>
      </c>
      <c r="E109" s="58" t="str">
        <f aca="false">VLOOKUP(D109,Models!$A$2:$B$13,2,0)</f>
        <v>24-inch HD TV</v>
      </c>
      <c r="F109" s="0" t="s">
        <v>65</v>
      </c>
      <c r="G109" s="58" t="str">
        <f aca="false">VLOOKUP(F109,Countries!$A$2:$B$11,2,0)</f>
        <v>Jordan</v>
      </c>
      <c r="H109" s="13" t="n">
        <v>30</v>
      </c>
      <c r="I109" s="13" t="n">
        <v>87000</v>
      </c>
      <c r="J109" s="0" t="s">
        <v>12</v>
      </c>
      <c r="K109" s="0" t="s">
        <v>178</v>
      </c>
    </row>
    <row r="110" customFormat="false" ht="12.8" hidden="false" customHeight="false" outlineLevel="0" collapsed="false">
      <c r="A110" s="57" t="n">
        <v>46212</v>
      </c>
      <c r="B110" s="0" t="s">
        <v>195</v>
      </c>
      <c r="C110" s="0" t="s">
        <v>13</v>
      </c>
      <c r="D110" s="0" t="s">
        <v>95</v>
      </c>
      <c r="E110" s="58" t="str">
        <f aca="false">VLOOKUP(D110,Models!$A$2:$B$13,2,0)</f>
        <v>32-inch HD TV</v>
      </c>
      <c r="F110" s="0" t="s">
        <v>69</v>
      </c>
      <c r="G110" s="58" t="str">
        <f aca="false">VLOOKUP(F110,Countries!$A$2:$B$11,2,0)</f>
        <v>Egypt</v>
      </c>
      <c r="H110" s="13" t="n">
        <v>15</v>
      </c>
      <c r="I110" s="13" t="n">
        <v>58500</v>
      </c>
      <c r="J110" s="0" t="s">
        <v>12</v>
      </c>
      <c r="K110" s="0" t="s">
        <v>178</v>
      </c>
    </row>
    <row r="111" customFormat="false" ht="12.8" hidden="false" customHeight="false" outlineLevel="0" collapsed="false">
      <c r="A111" s="57" t="n">
        <v>46212</v>
      </c>
      <c r="B111" s="0" t="s">
        <v>196</v>
      </c>
      <c r="C111" s="0" t="s">
        <v>13</v>
      </c>
      <c r="D111" s="0" t="s">
        <v>68</v>
      </c>
      <c r="E111" s="58" t="str">
        <f aca="false">VLOOKUP(D111,Models!$A$2:$B$13,2,0)</f>
        <v>50-inch 4K TV</v>
      </c>
      <c r="F111" s="0" t="s">
        <v>69</v>
      </c>
      <c r="G111" s="58" t="str">
        <f aca="false">VLOOKUP(F111,Countries!$A$2:$B$11,2,0)</f>
        <v>Egypt</v>
      </c>
      <c r="H111" s="13" t="n">
        <v>26</v>
      </c>
      <c r="I111" s="13" t="n">
        <v>270400</v>
      </c>
      <c r="J111" s="0" t="s">
        <v>12</v>
      </c>
      <c r="K111" s="0" t="s">
        <v>178</v>
      </c>
    </row>
    <row r="112" customFormat="false" ht="12.8" hidden="false" customHeight="false" outlineLevel="0" collapsed="false">
      <c r="A112" s="57" t="n">
        <v>46212</v>
      </c>
      <c r="B112" s="0" t="s">
        <v>197</v>
      </c>
      <c r="C112" s="0" t="s">
        <v>15</v>
      </c>
      <c r="D112" s="0" t="s">
        <v>71</v>
      </c>
      <c r="E112" s="58" t="str">
        <f aca="false">VLOOKUP(D112,Models!$A$2:$B$13,2,0)</f>
        <v>43-inch Full HD TV</v>
      </c>
      <c r="F112" s="0" t="s">
        <v>69</v>
      </c>
      <c r="G112" s="58" t="str">
        <f aca="false">VLOOKUP(F112,Countries!$A$2:$B$11,2,0)</f>
        <v>Egypt</v>
      </c>
      <c r="H112" s="13" t="n">
        <v>25</v>
      </c>
      <c r="I112" s="13" t="n">
        <v>172500</v>
      </c>
      <c r="J112" s="0" t="s">
        <v>12</v>
      </c>
      <c r="K112" s="0" t="s">
        <v>178</v>
      </c>
    </row>
    <row r="113" customFormat="false" ht="12.8" hidden="false" customHeight="false" outlineLevel="0" collapsed="false">
      <c r="A113" s="57" t="n">
        <v>46212</v>
      </c>
      <c r="B113" s="0" t="s">
        <v>198</v>
      </c>
      <c r="C113" s="0" t="s">
        <v>15</v>
      </c>
      <c r="D113" s="0" t="s">
        <v>71</v>
      </c>
      <c r="E113" s="58" t="str">
        <f aca="false">VLOOKUP(D113,Models!$A$2:$B$13,2,0)</f>
        <v>43-inch Full HD TV</v>
      </c>
      <c r="F113" s="0" t="s">
        <v>79</v>
      </c>
      <c r="G113" s="58" t="str">
        <f aca="false">VLOOKUP(F113,Countries!$A$2:$B$11,2,0)</f>
        <v>Iraq</v>
      </c>
      <c r="H113" s="13" t="n">
        <v>42</v>
      </c>
      <c r="I113" s="13" t="n">
        <v>289800</v>
      </c>
      <c r="J113" s="0" t="s">
        <v>12</v>
      </c>
      <c r="K113" s="0" t="s">
        <v>178</v>
      </c>
    </row>
    <row r="114" customFormat="false" ht="12.8" hidden="false" customHeight="false" outlineLevel="0" collapsed="false">
      <c r="A114" s="57" t="n">
        <v>46212</v>
      </c>
      <c r="B114" s="0" t="s">
        <v>199</v>
      </c>
      <c r="C114" s="0" t="s">
        <v>17</v>
      </c>
      <c r="D114" s="0" t="s">
        <v>64</v>
      </c>
      <c r="E114" s="58" t="str">
        <f aca="false">VLOOKUP(D114,Models!$A$2:$B$13,2,0)</f>
        <v>32-inch Smart TV</v>
      </c>
      <c r="F114" s="0" t="s">
        <v>65</v>
      </c>
      <c r="G114" s="58" t="str">
        <f aca="false">VLOOKUP(F114,Countries!$A$2:$B$11,2,0)</f>
        <v>Jordan</v>
      </c>
      <c r="H114" s="13" t="n">
        <v>17</v>
      </c>
      <c r="I114" s="13" t="n">
        <v>78200</v>
      </c>
      <c r="J114" s="0" t="s">
        <v>12</v>
      </c>
      <c r="K114" s="0" t="s">
        <v>178</v>
      </c>
    </row>
    <row r="115" customFormat="false" ht="12.8" hidden="false" customHeight="false" outlineLevel="0" collapsed="false">
      <c r="A115" s="57" t="n">
        <v>46212</v>
      </c>
      <c r="B115" s="0" t="s">
        <v>200</v>
      </c>
      <c r="C115" s="0" t="s">
        <v>17</v>
      </c>
      <c r="D115" s="0" t="s">
        <v>95</v>
      </c>
      <c r="E115" s="58" t="str">
        <f aca="false">VLOOKUP(D115,Models!$A$2:$B$13,2,0)</f>
        <v>32-inch HD TV</v>
      </c>
      <c r="F115" s="0" t="s">
        <v>69</v>
      </c>
      <c r="G115" s="58" t="str">
        <f aca="false">VLOOKUP(F115,Countries!$A$2:$B$11,2,0)</f>
        <v>Egypt</v>
      </c>
      <c r="H115" s="13" t="n">
        <v>33</v>
      </c>
      <c r="I115" s="13" t="n">
        <v>128700</v>
      </c>
      <c r="J115" s="0" t="s">
        <v>12</v>
      </c>
      <c r="K115" s="0" t="s">
        <v>178</v>
      </c>
    </row>
    <row r="116" customFormat="false" ht="12.8" hidden="false" customHeight="false" outlineLevel="0" collapsed="false">
      <c r="A116" s="57" t="n">
        <v>46212</v>
      </c>
      <c r="B116" s="0" t="s">
        <v>201</v>
      </c>
      <c r="C116" s="0" t="s">
        <v>17</v>
      </c>
      <c r="D116" s="0" t="s">
        <v>68</v>
      </c>
      <c r="E116" s="58" t="str">
        <f aca="false">VLOOKUP(D116,Models!$A$2:$B$13,2,0)</f>
        <v>50-inch 4K TV</v>
      </c>
      <c r="F116" s="0" t="s">
        <v>75</v>
      </c>
      <c r="G116" s="58" t="str">
        <f aca="false">VLOOKUP(F116,Countries!$A$2:$B$11,2,0)</f>
        <v>Nigeria</v>
      </c>
      <c r="H116" s="13" t="n">
        <v>7</v>
      </c>
      <c r="I116" s="13" t="n">
        <v>72800</v>
      </c>
      <c r="J116" s="0" t="s">
        <v>12</v>
      </c>
      <c r="K116" s="0" t="s">
        <v>178</v>
      </c>
    </row>
    <row r="117" customFormat="false" ht="12.8" hidden="false" customHeight="false" outlineLevel="0" collapsed="false">
      <c r="A117" s="57" t="n">
        <v>46212</v>
      </c>
      <c r="B117" s="0" t="s">
        <v>202</v>
      </c>
      <c r="C117" s="0" t="s">
        <v>19</v>
      </c>
      <c r="D117" s="0" t="s">
        <v>74</v>
      </c>
      <c r="E117" s="58" t="str">
        <f aca="false">VLOOKUP(D117,Models!$A$2:$B$13,2,0)</f>
        <v>40-inch Full HD TV</v>
      </c>
      <c r="F117" s="0" t="s">
        <v>69</v>
      </c>
      <c r="G117" s="58" t="str">
        <f aca="false">VLOOKUP(F117,Countries!$A$2:$B$11,2,0)</f>
        <v>Egypt</v>
      </c>
      <c r="H117" s="13" t="n">
        <v>17</v>
      </c>
      <c r="I117" s="13" t="n">
        <v>105400</v>
      </c>
      <c r="J117" s="0" t="s">
        <v>12</v>
      </c>
      <c r="K117" s="0" t="s">
        <v>178</v>
      </c>
    </row>
    <row r="118" customFormat="false" ht="12.8" hidden="false" customHeight="false" outlineLevel="0" collapsed="false">
      <c r="A118" s="57" t="n">
        <v>46212</v>
      </c>
      <c r="B118" s="0" t="s">
        <v>203</v>
      </c>
      <c r="C118" s="0" t="s">
        <v>19</v>
      </c>
      <c r="D118" s="0" t="s">
        <v>90</v>
      </c>
      <c r="E118" s="58" t="str">
        <f aca="false">VLOOKUP(D118,Models!$A$2:$B$13,2,0)</f>
        <v>55-inch 4K TV</v>
      </c>
      <c r="F118" s="0" t="s">
        <v>69</v>
      </c>
      <c r="G118" s="58" t="str">
        <f aca="false">VLOOKUP(F118,Countries!$A$2:$B$11,2,0)</f>
        <v>Egypt</v>
      </c>
      <c r="H118" s="13" t="n">
        <v>17</v>
      </c>
      <c r="I118" s="13" t="n">
        <v>209100</v>
      </c>
      <c r="J118" s="0" t="s">
        <v>12</v>
      </c>
      <c r="K118" s="0" t="s">
        <v>178</v>
      </c>
    </row>
    <row r="119" customFormat="false" ht="12.8" hidden="false" customHeight="false" outlineLevel="0" collapsed="false">
      <c r="A119" s="57" t="n">
        <v>46212</v>
      </c>
      <c r="B119" s="0" t="s">
        <v>204</v>
      </c>
      <c r="C119" s="0" t="s">
        <v>19</v>
      </c>
      <c r="D119" s="0" t="s">
        <v>81</v>
      </c>
      <c r="E119" s="58" t="str">
        <f aca="false">VLOOKUP(D119,Models!$A$2:$B$13,2,0)</f>
        <v>43-inch Smart TV</v>
      </c>
      <c r="F119" s="0" t="s">
        <v>69</v>
      </c>
      <c r="G119" s="58" t="str">
        <f aca="false">VLOOKUP(F119,Countries!$A$2:$B$11,2,0)</f>
        <v>Egypt</v>
      </c>
      <c r="H119" s="13" t="n">
        <v>7</v>
      </c>
      <c r="I119" s="13" t="n">
        <v>54600</v>
      </c>
      <c r="J119" s="0" t="s">
        <v>12</v>
      </c>
      <c r="K119" s="0" t="s">
        <v>178</v>
      </c>
    </row>
    <row r="120" customFormat="false" ht="12.8" hidden="false" customHeight="false" outlineLevel="0" collapsed="false">
      <c r="A120" s="57" t="n">
        <v>46212</v>
      </c>
      <c r="B120" s="0" t="s">
        <v>205</v>
      </c>
      <c r="C120" s="0" t="s">
        <v>19</v>
      </c>
      <c r="D120" s="0" t="s">
        <v>77</v>
      </c>
      <c r="E120" s="58" t="str">
        <f aca="false">VLOOKUP(D120,Models!$A$2:$B$13,2,0)</f>
        <v>65-inch QLED TV</v>
      </c>
      <c r="F120" s="0" t="s">
        <v>177</v>
      </c>
      <c r="G120" s="58" t="str">
        <f aca="false">VLOOKUP(F120,Countries!$A$2:$B$11,2,0)</f>
        <v>Saudi Arabia</v>
      </c>
      <c r="H120" s="13" t="n">
        <v>6</v>
      </c>
      <c r="I120" s="13" t="n">
        <v>147000</v>
      </c>
      <c r="J120" s="0" t="s">
        <v>12</v>
      </c>
      <c r="K120" s="0" t="s">
        <v>178</v>
      </c>
    </row>
    <row r="121" customFormat="false" ht="12.8" hidden="false" customHeight="false" outlineLevel="0" collapsed="false">
      <c r="A121" s="57" t="n">
        <v>46212</v>
      </c>
      <c r="B121" s="0" t="s">
        <v>206</v>
      </c>
      <c r="C121" s="0" t="s">
        <v>20</v>
      </c>
      <c r="D121" s="0" t="s">
        <v>64</v>
      </c>
      <c r="E121" s="58" t="str">
        <f aca="false">VLOOKUP(D121,Models!$A$2:$B$13,2,0)</f>
        <v>32-inch Smart TV</v>
      </c>
      <c r="F121" s="0" t="s">
        <v>69</v>
      </c>
      <c r="G121" s="58" t="str">
        <f aca="false">VLOOKUP(F121,Countries!$A$2:$B$11,2,0)</f>
        <v>Egypt</v>
      </c>
      <c r="H121" s="13" t="n">
        <v>41</v>
      </c>
      <c r="I121" s="13" t="n">
        <v>188600</v>
      </c>
      <c r="J121" s="0" t="s">
        <v>12</v>
      </c>
      <c r="K121" s="0" t="s">
        <v>178</v>
      </c>
    </row>
    <row r="122" customFormat="false" ht="12.8" hidden="false" customHeight="false" outlineLevel="0" collapsed="false">
      <c r="A122" s="57" t="n">
        <v>46212</v>
      </c>
      <c r="B122" s="0" t="s">
        <v>207</v>
      </c>
      <c r="C122" s="0" t="s">
        <v>20</v>
      </c>
      <c r="D122" s="0" t="s">
        <v>68</v>
      </c>
      <c r="E122" s="58" t="str">
        <f aca="false">VLOOKUP(D122,Models!$A$2:$B$13,2,0)</f>
        <v>50-inch 4K TV</v>
      </c>
      <c r="F122" s="0" t="s">
        <v>103</v>
      </c>
      <c r="G122" s="58" t="str">
        <f aca="false">VLOOKUP(F122,Countries!$A$2:$B$11,2,0)</f>
        <v>Morocco</v>
      </c>
      <c r="H122" s="13" t="n">
        <v>9</v>
      </c>
      <c r="I122" s="13" t="n">
        <v>93600</v>
      </c>
      <c r="J122" s="0" t="s">
        <v>12</v>
      </c>
      <c r="K122" s="0" t="s">
        <v>178</v>
      </c>
    </row>
    <row r="123" customFormat="false" ht="12.8" hidden="false" customHeight="false" outlineLevel="0" collapsed="false">
      <c r="A123" s="57" t="n">
        <v>46212</v>
      </c>
      <c r="B123" s="0" t="s">
        <v>208</v>
      </c>
      <c r="C123" s="0" t="s">
        <v>20</v>
      </c>
      <c r="D123" s="0" t="s">
        <v>74</v>
      </c>
      <c r="E123" s="58" t="str">
        <f aca="false">VLOOKUP(D123,Models!$A$2:$B$13,2,0)</f>
        <v>40-inch Full HD TV</v>
      </c>
      <c r="F123" s="0" t="s">
        <v>177</v>
      </c>
      <c r="G123" s="58" t="str">
        <f aca="false">VLOOKUP(F123,Countries!$A$2:$B$11,2,0)</f>
        <v>Saudi Arabia</v>
      </c>
      <c r="H123" s="13" t="n">
        <v>47</v>
      </c>
      <c r="I123" s="13" t="n">
        <v>291400</v>
      </c>
      <c r="J123" s="0" t="s">
        <v>12</v>
      </c>
      <c r="K123" s="0" t="s">
        <v>178</v>
      </c>
    </row>
    <row r="124" customFormat="false" ht="12.8" hidden="false" customHeight="false" outlineLevel="0" collapsed="false">
      <c r="A124" s="57" t="n">
        <v>46212</v>
      </c>
      <c r="B124" s="0" t="s">
        <v>209</v>
      </c>
      <c r="C124" s="0" t="s">
        <v>20</v>
      </c>
      <c r="D124" s="0" t="s">
        <v>77</v>
      </c>
      <c r="E124" s="58" t="str">
        <f aca="false">VLOOKUP(D124,Models!$A$2:$B$13,2,0)</f>
        <v>65-inch QLED TV</v>
      </c>
      <c r="F124" s="0" t="s">
        <v>101</v>
      </c>
      <c r="G124" s="58" t="str">
        <f aca="false">VLOOKUP(F124,Countries!$A$2:$B$11,2,0)</f>
        <v>Kuwait</v>
      </c>
      <c r="H124" s="13" t="n">
        <v>19</v>
      </c>
      <c r="I124" s="13" t="n">
        <v>465500</v>
      </c>
      <c r="J124" s="0" t="s">
        <v>12</v>
      </c>
      <c r="K124" s="0" t="s">
        <v>178</v>
      </c>
    </row>
    <row r="125" customFormat="false" ht="12.8" hidden="false" customHeight="false" outlineLevel="0" collapsed="false">
      <c r="A125" s="57" t="n">
        <v>46212</v>
      </c>
      <c r="B125" s="0" t="s">
        <v>210</v>
      </c>
      <c r="C125" s="0" t="s">
        <v>21</v>
      </c>
      <c r="D125" s="0" t="s">
        <v>64</v>
      </c>
      <c r="E125" s="58" t="str">
        <f aca="false">VLOOKUP(D125,Models!$A$2:$B$13,2,0)</f>
        <v>32-inch Smart TV</v>
      </c>
      <c r="F125" s="0" t="s">
        <v>65</v>
      </c>
      <c r="G125" s="58" t="str">
        <f aca="false">VLOOKUP(F125,Countries!$A$2:$B$11,2,0)</f>
        <v>Jordan</v>
      </c>
      <c r="H125" s="13" t="n">
        <v>52</v>
      </c>
      <c r="I125" s="13" t="n">
        <v>239200</v>
      </c>
      <c r="J125" s="0" t="s">
        <v>12</v>
      </c>
      <c r="K125" s="0" t="s">
        <v>178</v>
      </c>
    </row>
    <row r="126" customFormat="false" ht="12.8" hidden="false" customHeight="false" outlineLevel="0" collapsed="false">
      <c r="A126" s="57" t="n">
        <v>46214</v>
      </c>
      <c r="B126" s="0" t="s">
        <v>211</v>
      </c>
      <c r="C126" s="0" t="s">
        <v>13</v>
      </c>
      <c r="D126" s="0" t="s">
        <v>90</v>
      </c>
      <c r="E126" s="58" t="str">
        <f aca="false">VLOOKUP(D126,Models!$A$2:$B$13,2,0)</f>
        <v>55-inch 4K TV</v>
      </c>
      <c r="F126" s="0" t="s">
        <v>69</v>
      </c>
      <c r="G126" s="58" t="str">
        <f aca="false">VLOOKUP(F126,Countries!$A$2:$B$11,2,0)</f>
        <v>Egypt</v>
      </c>
      <c r="H126" s="13" t="n">
        <v>33</v>
      </c>
      <c r="I126" s="13" t="n">
        <v>405900</v>
      </c>
      <c r="J126" s="0" t="s">
        <v>12</v>
      </c>
      <c r="K126" s="0" t="s">
        <v>178</v>
      </c>
    </row>
    <row r="127" customFormat="false" ht="12.8" hidden="false" customHeight="false" outlineLevel="0" collapsed="false">
      <c r="A127" s="57" t="n">
        <v>46214</v>
      </c>
      <c r="B127" s="0" t="s">
        <v>212</v>
      </c>
      <c r="C127" s="0" t="s">
        <v>13</v>
      </c>
      <c r="D127" s="0" t="s">
        <v>81</v>
      </c>
      <c r="E127" s="58" t="str">
        <f aca="false">VLOOKUP(D127,Models!$A$2:$B$13,2,0)</f>
        <v>43-inch Smart TV</v>
      </c>
      <c r="F127" s="0" t="s">
        <v>83</v>
      </c>
      <c r="G127" s="58" t="str">
        <f aca="false">VLOOKUP(F127,Countries!$A$2:$B$11,2,0)</f>
        <v>United Arab Emirates</v>
      </c>
      <c r="H127" s="13" t="n">
        <v>7</v>
      </c>
      <c r="I127" s="13" t="n">
        <v>54600</v>
      </c>
      <c r="J127" s="0" t="s">
        <v>12</v>
      </c>
      <c r="K127" s="0" t="s">
        <v>178</v>
      </c>
    </row>
    <row r="128" customFormat="false" ht="12.8" hidden="false" customHeight="false" outlineLevel="0" collapsed="false">
      <c r="A128" s="57" t="n">
        <v>46214</v>
      </c>
      <c r="B128" s="0" t="s">
        <v>213</v>
      </c>
      <c r="C128" s="0" t="s">
        <v>13</v>
      </c>
      <c r="D128" s="0" t="s">
        <v>81</v>
      </c>
      <c r="E128" s="58" t="str">
        <f aca="false">VLOOKUP(D128,Models!$A$2:$B$13,2,0)</f>
        <v>43-inch Smart TV</v>
      </c>
      <c r="F128" s="0" t="s">
        <v>177</v>
      </c>
      <c r="G128" s="58" t="str">
        <f aca="false">VLOOKUP(F128,Countries!$A$2:$B$11,2,0)</f>
        <v>Saudi Arabia</v>
      </c>
      <c r="H128" s="13" t="n">
        <v>17</v>
      </c>
      <c r="I128" s="13" t="n">
        <v>132600</v>
      </c>
      <c r="J128" s="0" t="s">
        <v>12</v>
      </c>
      <c r="K128" s="0" t="s">
        <v>178</v>
      </c>
    </row>
    <row r="129" customFormat="false" ht="12.8" hidden="false" customHeight="false" outlineLevel="0" collapsed="false">
      <c r="A129" s="57" t="n">
        <v>46214</v>
      </c>
      <c r="B129" s="0" t="s">
        <v>214</v>
      </c>
      <c r="C129" s="0" t="s">
        <v>13</v>
      </c>
      <c r="D129" s="0" t="s">
        <v>95</v>
      </c>
      <c r="E129" s="58" t="str">
        <f aca="false">VLOOKUP(D129,Models!$A$2:$B$13,2,0)</f>
        <v>32-inch HD TV</v>
      </c>
      <c r="F129" s="0" t="s">
        <v>69</v>
      </c>
      <c r="G129" s="58" t="str">
        <f aca="false">VLOOKUP(F129,Countries!$A$2:$B$11,2,0)</f>
        <v>Egypt</v>
      </c>
      <c r="H129" s="13" t="n">
        <v>34</v>
      </c>
      <c r="I129" s="13" t="n">
        <v>132600</v>
      </c>
      <c r="J129" s="0" t="s">
        <v>12</v>
      </c>
      <c r="K129" s="0" t="s">
        <v>178</v>
      </c>
    </row>
    <row r="130" customFormat="false" ht="12.8" hidden="false" customHeight="false" outlineLevel="0" collapsed="false">
      <c r="A130" s="57" t="n">
        <v>46214</v>
      </c>
      <c r="B130" s="0" t="s">
        <v>215</v>
      </c>
      <c r="C130" s="0" t="s">
        <v>13</v>
      </c>
      <c r="D130" s="0" t="s">
        <v>85</v>
      </c>
      <c r="E130" s="58" t="str">
        <f aca="false">VLOOKUP(D130,Models!$A$2:$B$13,2,0)</f>
        <v>75-inch 4K TV</v>
      </c>
      <c r="F130" s="0" t="s">
        <v>69</v>
      </c>
      <c r="G130" s="58" t="str">
        <f aca="false">VLOOKUP(F130,Countries!$A$2:$B$11,2,0)</f>
        <v>Egypt</v>
      </c>
      <c r="H130" s="13" t="n">
        <v>8</v>
      </c>
      <c r="I130" s="13" t="n">
        <v>249600</v>
      </c>
      <c r="J130" s="0" t="s">
        <v>12</v>
      </c>
      <c r="K130" s="0" t="s">
        <v>178</v>
      </c>
    </row>
    <row r="131" customFormat="false" ht="12.8" hidden="false" customHeight="false" outlineLevel="0" collapsed="false">
      <c r="A131" s="57" t="n">
        <v>46214</v>
      </c>
      <c r="B131" s="0" t="s">
        <v>216</v>
      </c>
      <c r="C131" s="0" t="s">
        <v>15</v>
      </c>
      <c r="D131" s="0" t="s">
        <v>71</v>
      </c>
      <c r="E131" s="58" t="str">
        <f aca="false">VLOOKUP(D131,Models!$A$2:$B$13,2,0)</f>
        <v>43-inch Full HD TV</v>
      </c>
      <c r="F131" s="0" t="s">
        <v>65</v>
      </c>
      <c r="G131" s="58" t="str">
        <f aca="false">VLOOKUP(F131,Countries!$A$2:$B$11,2,0)</f>
        <v>Jordan</v>
      </c>
      <c r="H131" s="13" t="n">
        <v>9</v>
      </c>
      <c r="I131" s="13" t="n">
        <v>62100</v>
      </c>
      <c r="J131" s="0" t="s">
        <v>12</v>
      </c>
      <c r="K131" s="0" t="s">
        <v>178</v>
      </c>
    </row>
    <row r="132" customFormat="false" ht="12.8" hidden="false" customHeight="false" outlineLevel="0" collapsed="false">
      <c r="A132" s="57" t="n">
        <v>46214</v>
      </c>
      <c r="B132" s="0" t="s">
        <v>217</v>
      </c>
      <c r="C132" s="0" t="s">
        <v>15</v>
      </c>
      <c r="D132" s="0" t="s">
        <v>64</v>
      </c>
      <c r="E132" s="58" t="str">
        <f aca="false">VLOOKUP(D132,Models!$A$2:$B$13,2,0)</f>
        <v>32-inch Smart TV</v>
      </c>
      <c r="F132" s="0" t="s">
        <v>69</v>
      </c>
      <c r="G132" s="58" t="str">
        <f aca="false">VLOOKUP(F132,Countries!$A$2:$B$11,2,0)</f>
        <v>Egypt</v>
      </c>
      <c r="H132" s="13" t="n">
        <v>59</v>
      </c>
      <c r="I132" s="13" t="n">
        <v>271400</v>
      </c>
      <c r="J132" s="0" t="s">
        <v>12</v>
      </c>
      <c r="K132" s="0" t="s">
        <v>178</v>
      </c>
    </row>
    <row r="133" customFormat="false" ht="12.8" hidden="false" customHeight="false" outlineLevel="0" collapsed="false">
      <c r="A133" s="57" t="n">
        <v>46214</v>
      </c>
      <c r="B133" s="0" t="s">
        <v>218</v>
      </c>
      <c r="C133" s="0" t="s">
        <v>15</v>
      </c>
      <c r="D133" s="0" t="s">
        <v>95</v>
      </c>
      <c r="E133" s="58" t="str">
        <f aca="false">VLOOKUP(D133,Models!$A$2:$B$13,2,0)</f>
        <v>32-inch HD TV</v>
      </c>
      <c r="F133" s="0" t="s">
        <v>69</v>
      </c>
      <c r="G133" s="58" t="str">
        <f aca="false">VLOOKUP(F133,Countries!$A$2:$B$11,2,0)</f>
        <v>Egypt</v>
      </c>
      <c r="H133" s="13" t="n">
        <v>22</v>
      </c>
      <c r="I133" s="13" t="n">
        <v>85800</v>
      </c>
      <c r="J133" s="0" t="s">
        <v>12</v>
      </c>
      <c r="K133" s="0" t="s">
        <v>178</v>
      </c>
    </row>
    <row r="134" customFormat="false" ht="12.8" hidden="false" customHeight="false" outlineLevel="0" collapsed="false">
      <c r="A134" s="57" t="n">
        <v>46214</v>
      </c>
      <c r="B134" s="0" t="s">
        <v>219</v>
      </c>
      <c r="C134" s="0" t="s">
        <v>15</v>
      </c>
      <c r="D134" s="0" t="s">
        <v>81</v>
      </c>
      <c r="E134" s="58" t="str">
        <f aca="false">VLOOKUP(D134,Models!$A$2:$B$13,2,0)</f>
        <v>43-inch Smart TV</v>
      </c>
      <c r="F134" s="0" t="s">
        <v>69</v>
      </c>
      <c r="G134" s="58" t="str">
        <f aca="false">VLOOKUP(F134,Countries!$A$2:$B$11,2,0)</f>
        <v>Egypt</v>
      </c>
      <c r="H134" s="13" t="n">
        <v>32</v>
      </c>
      <c r="I134" s="13" t="n">
        <v>249600</v>
      </c>
      <c r="J134" s="0" t="s">
        <v>12</v>
      </c>
      <c r="K134" s="0" t="s">
        <v>178</v>
      </c>
    </row>
    <row r="135" customFormat="false" ht="12.8" hidden="false" customHeight="false" outlineLevel="0" collapsed="false">
      <c r="A135" s="57" t="n">
        <v>46214</v>
      </c>
      <c r="B135" s="0" t="s">
        <v>220</v>
      </c>
      <c r="C135" s="0" t="s">
        <v>15</v>
      </c>
      <c r="D135" s="0" t="s">
        <v>90</v>
      </c>
      <c r="E135" s="58" t="str">
        <f aca="false">VLOOKUP(D135,Models!$A$2:$B$13,2,0)</f>
        <v>55-inch 4K TV</v>
      </c>
      <c r="F135" s="0" t="s">
        <v>69</v>
      </c>
      <c r="G135" s="58" t="str">
        <f aca="false">VLOOKUP(F135,Countries!$A$2:$B$11,2,0)</f>
        <v>Egypt</v>
      </c>
      <c r="H135" s="13" t="n">
        <v>20</v>
      </c>
      <c r="I135" s="13" t="n">
        <v>246000</v>
      </c>
      <c r="J135" s="0" t="s">
        <v>12</v>
      </c>
      <c r="K135" s="0" t="s">
        <v>178</v>
      </c>
    </row>
    <row r="136" customFormat="false" ht="12.8" hidden="false" customHeight="false" outlineLevel="0" collapsed="false">
      <c r="A136" s="57" t="n">
        <v>46214</v>
      </c>
      <c r="B136" s="0" t="s">
        <v>221</v>
      </c>
      <c r="C136" s="0" t="s">
        <v>17</v>
      </c>
      <c r="D136" s="0" t="s">
        <v>74</v>
      </c>
      <c r="E136" s="58" t="str">
        <f aca="false">VLOOKUP(D136,Models!$A$2:$B$13,2,0)</f>
        <v>40-inch Full HD TV</v>
      </c>
      <c r="F136" s="0" t="s">
        <v>69</v>
      </c>
      <c r="G136" s="58" t="str">
        <f aca="false">VLOOKUP(F136,Countries!$A$2:$B$11,2,0)</f>
        <v>Egypt</v>
      </c>
      <c r="H136" s="13" t="n">
        <v>28</v>
      </c>
      <c r="I136" s="13" t="n">
        <v>173600</v>
      </c>
      <c r="J136" s="0" t="s">
        <v>12</v>
      </c>
      <c r="K136" s="0" t="s">
        <v>178</v>
      </c>
    </row>
    <row r="137" customFormat="false" ht="12.8" hidden="false" customHeight="false" outlineLevel="0" collapsed="false">
      <c r="A137" s="57" t="n">
        <v>46214</v>
      </c>
      <c r="B137" s="0" t="s">
        <v>222</v>
      </c>
      <c r="C137" s="0" t="s">
        <v>19</v>
      </c>
      <c r="D137" s="0" t="s">
        <v>64</v>
      </c>
      <c r="E137" s="58" t="str">
        <f aca="false">VLOOKUP(D137,Models!$A$2:$B$13,2,0)</f>
        <v>32-inch Smart TV</v>
      </c>
      <c r="F137" s="0" t="s">
        <v>177</v>
      </c>
      <c r="G137" s="58" t="str">
        <f aca="false">VLOOKUP(F137,Countries!$A$2:$B$11,2,0)</f>
        <v>Saudi Arabia</v>
      </c>
      <c r="H137" s="13" t="n">
        <v>17</v>
      </c>
      <c r="I137" s="13" t="n">
        <v>78200</v>
      </c>
      <c r="J137" s="0" t="s">
        <v>12</v>
      </c>
      <c r="K137" s="0" t="s">
        <v>178</v>
      </c>
    </row>
    <row r="138" customFormat="false" ht="12.8" hidden="false" customHeight="false" outlineLevel="0" collapsed="false">
      <c r="A138" s="57" t="n">
        <v>46214</v>
      </c>
      <c r="B138" s="0" t="s">
        <v>223</v>
      </c>
      <c r="C138" s="0" t="s">
        <v>19</v>
      </c>
      <c r="D138" s="0" t="s">
        <v>74</v>
      </c>
      <c r="E138" s="58" t="str">
        <f aca="false">VLOOKUP(D138,Models!$A$2:$B$13,2,0)</f>
        <v>40-inch Full HD TV</v>
      </c>
      <c r="F138" s="0" t="s">
        <v>69</v>
      </c>
      <c r="G138" s="58" t="str">
        <f aca="false">VLOOKUP(F138,Countries!$A$2:$B$11,2,0)</f>
        <v>Egypt</v>
      </c>
      <c r="H138" s="13" t="n">
        <v>7</v>
      </c>
      <c r="I138" s="13" t="n">
        <v>43400</v>
      </c>
      <c r="J138" s="0" t="s">
        <v>12</v>
      </c>
      <c r="K138" s="0" t="s">
        <v>178</v>
      </c>
    </row>
    <row r="139" customFormat="false" ht="12.8" hidden="false" customHeight="false" outlineLevel="0" collapsed="false">
      <c r="A139" s="57" t="n">
        <v>46214</v>
      </c>
      <c r="B139" s="0" t="s">
        <v>224</v>
      </c>
      <c r="C139" s="0" t="s">
        <v>19</v>
      </c>
      <c r="D139" s="0" t="s">
        <v>68</v>
      </c>
      <c r="E139" s="58" t="str">
        <f aca="false">VLOOKUP(D139,Models!$A$2:$B$13,2,0)</f>
        <v>50-inch 4K TV</v>
      </c>
      <c r="F139" s="0" t="s">
        <v>101</v>
      </c>
      <c r="G139" s="58" t="str">
        <f aca="false">VLOOKUP(F139,Countries!$A$2:$B$11,2,0)</f>
        <v>Kuwait</v>
      </c>
      <c r="H139" s="13" t="n">
        <v>16</v>
      </c>
      <c r="I139" s="13" t="n">
        <v>166400</v>
      </c>
      <c r="J139" s="0" t="s">
        <v>12</v>
      </c>
      <c r="K139" s="0" t="s">
        <v>178</v>
      </c>
    </row>
    <row r="140" customFormat="false" ht="12.8" hidden="false" customHeight="false" outlineLevel="0" collapsed="false">
      <c r="A140" s="57" t="n">
        <v>46214</v>
      </c>
      <c r="B140" s="0" t="s">
        <v>225</v>
      </c>
      <c r="C140" s="0" t="s">
        <v>20</v>
      </c>
      <c r="D140" s="0" t="s">
        <v>90</v>
      </c>
      <c r="E140" s="58" t="str">
        <f aca="false">VLOOKUP(D140,Models!$A$2:$B$13,2,0)</f>
        <v>55-inch 4K TV</v>
      </c>
      <c r="F140" s="0" t="s">
        <v>69</v>
      </c>
      <c r="G140" s="58" t="str">
        <f aca="false">VLOOKUP(F140,Countries!$A$2:$B$11,2,0)</f>
        <v>Egypt</v>
      </c>
      <c r="H140" s="13" t="n">
        <v>29</v>
      </c>
      <c r="I140" s="13" t="n">
        <v>356700</v>
      </c>
      <c r="J140" s="0" t="s">
        <v>12</v>
      </c>
      <c r="K140" s="0" t="s">
        <v>178</v>
      </c>
    </row>
    <row r="141" customFormat="false" ht="12.8" hidden="false" customHeight="false" outlineLevel="0" collapsed="false">
      <c r="A141" s="57" t="n">
        <v>46214</v>
      </c>
      <c r="B141" s="0" t="s">
        <v>226</v>
      </c>
      <c r="C141" s="0" t="s">
        <v>20</v>
      </c>
      <c r="D141" s="0" t="s">
        <v>92</v>
      </c>
      <c r="E141" s="58" t="str">
        <f aca="false">VLOOKUP(D141,Models!$A$2:$B$13,2,0)</f>
        <v>65-inch 4K TV</v>
      </c>
      <c r="F141" s="0" t="s">
        <v>65</v>
      </c>
      <c r="G141" s="58" t="str">
        <f aca="false">VLOOKUP(F141,Countries!$A$2:$B$11,2,0)</f>
        <v>Jordan</v>
      </c>
      <c r="H141" s="13" t="n">
        <v>20</v>
      </c>
      <c r="I141" s="13" t="n">
        <v>396000</v>
      </c>
      <c r="J141" s="0" t="s">
        <v>12</v>
      </c>
      <c r="K141" s="0" t="s">
        <v>178</v>
      </c>
    </row>
    <row r="142" customFormat="false" ht="12.8" hidden="false" customHeight="false" outlineLevel="0" collapsed="false">
      <c r="A142" s="57" t="n">
        <v>46214</v>
      </c>
      <c r="B142" s="0" t="s">
        <v>227</v>
      </c>
      <c r="C142" s="0" t="s">
        <v>20</v>
      </c>
      <c r="D142" s="0" t="s">
        <v>64</v>
      </c>
      <c r="E142" s="58" t="str">
        <f aca="false">VLOOKUP(D142,Models!$A$2:$B$13,2,0)</f>
        <v>32-inch Smart TV</v>
      </c>
      <c r="F142" s="0" t="s">
        <v>83</v>
      </c>
      <c r="G142" s="58" t="str">
        <f aca="false">VLOOKUP(F142,Countries!$A$2:$B$11,2,0)</f>
        <v>United Arab Emirates</v>
      </c>
      <c r="H142" s="13" t="n">
        <v>53</v>
      </c>
      <c r="I142" s="13" t="n">
        <v>243800</v>
      </c>
      <c r="J142" s="0" t="s">
        <v>12</v>
      </c>
      <c r="K142" s="0" t="s">
        <v>178</v>
      </c>
    </row>
    <row r="143" customFormat="false" ht="12.8" hidden="false" customHeight="false" outlineLevel="0" collapsed="false">
      <c r="A143" s="57" t="n">
        <v>46214</v>
      </c>
      <c r="B143" s="0" t="s">
        <v>228</v>
      </c>
      <c r="C143" s="0" t="s">
        <v>20</v>
      </c>
      <c r="D143" s="0" t="s">
        <v>64</v>
      </c>
      <c r="E143" s="58" t="str">
        <f aca="false">VLOOKUP(D143,Models!$A$2:$B$13,2,0)</f>
        <v>32-inch Smart TV</v>
      </c>
      <c r="F143" s="0" t="s">
        <v>79</v>
      </c>
      <c r="G143" s="58" t="str">
        <f aca="false">VLOOKUP(F143,Countries!$A$2:$B$11,2,0)</f>
        <v>Iraq</v>
      </c>
      <c r="H143" s="13" t="n">
        <v>30</v>
      </c>
      <c r="I143" s="13" t="n">
        <v>138000</v>
      </c>
      <c r="J143" s="0" t="s">
        <v>12</v>
      </c>
      <c r="K143" s="0" t="s">
        <v>178</v>
      </c>
    </row>
    <row r="144" customFormat="false" ht="12.8" hidden="false" customHeight="false" outlineLevel="0" collapsed="false">
      <c r="A144" s="57" t="n">
        <v>46214</v>
      </c>
      <c r="B144" s="0" t="s">
        <v>229</v>
      </c>
      <c r="C144" s="0" t="s">
        <v>21</v>
      </c>
      <c r="D144" s="0" t="s">
        <v>77</v>
      </c>
      <c r="E144" s="58" t="str">
        <f aca="false">VLOOKUP(D144,Models!$A$2:$B$13,2,0)</f>
        <v>65-inch QLED TV</v>
      </c>
      <c r="F144" s="0" t="s">
        <v>69</v>
      </c>
      <c r="G144" s="58" t="str">
        <f aca="false">VLOOKUP(F144,Countries!$A$2:$B$11,2,0)</f>
        <v>Egypt</v>
      </c>
      <c r="H144" s="13" t="n">
        <v>20</v>
      </c>
      <c r="I144" s="13" t="n">
        <v>490000</v>
      </c>
      <c r="J144" s="0" t="s">
        <v>12</v>
      </c>
      <c r="K144" s="0" t="s">
        <v>178</v>
      </c>
    </row>
    <row r="145" customFormat="false" ht="12.8" hidden="false" customHeight="false" outlineLevel="0" collapsed="false">
      <c r="A145" s="57" t="n">
        <v>46215</v>
      </c>
      <c r="B145" s="0" t="s">
        <v>230</v>
      </c>
      <c r="C145" s="0" t="s">
        <v>13</v>
      </c>
      <c r="D145" s="0" t="s">
        <v>77</v>
      </c>
      <c r="E145" s="58" t="str">
        <f aca="false">VLOOKUP(D145,Models!$A$2:$B$13,2,0)</f>
        <v>65-inch QLED TV</v>
      </c>
      <c r="F145" s="0" t="s">
        <v>72</v>
      </c>
      <c r="G145" s="58" t="str">
        <f aca="false">VLOOKUP(F145,Countries!$A$2:$B$11,2,0)</f>
        <v>Kenya</v>
      </c>
      <c r="H145" s="13" t="n">
        <v>18</v>
      </c>
      <c r="I145" s="13" t="n">
        <v>441000</v>
      </c>
      <c r="J145" s="0" t="s">
        <v>12</v>
      </c>
      <c r="K145" s="0" t="s">
        <v>178</v>
      </c>
    </row>
    <row r="146" customFormat="false" ht="12.8" hidden="false" customHeight="false" outlineLevel="0" collapsed="false">
      <c r="A146" s="57" t="n">
        <v>46215</v>
      </c>
      <c r="B146" s="0" t="s">
        <v>231</v>
      </c>
      <c r="C146" s="0" t="s">
        <v>13</v>
      </c>
      <c r="D146" s="0" t="s">
        <v>92</v>
      </c>
      <c r="E146" s="58" t="str">
        <f aca="false">VLOOKUP(D146,Models!$A$2:$B$13,2,0)</f>
        <v>65-inch 4K TV</v>
      </c>
      <c r="F146" s="0" t="s">
        <v>177</v>
      </c>
      <c r="G146" s="58" t="str">
        <f aca="false">VLOOKUP(F146,Countries!$A$2:$B$11,2,0)</f>
        <v>Saudi Arabia</v>
      </c>
      <c r="H146" s="13" t="n">
        <v>9</v>
      </c>
      <c r="I146" s="13" t="n">
        <v>178200</v>
      </c>
      <c r="J146" s="0" t="s">
        <v>12</v>
      </c>
      <c r="K146" s="0" t="s">
        <v>178</v>
      </c>
    </row>
    <row r="147" customFormat="false" ht="12.8" hidden="false" customHeight="false" outlineLevel="0" collapsed="false">
      <c r="A147" s="57" t="n">
        <v>46215</v>
      </c>
      <c r="B147" s="0" t="s">
        <v>232</v>
      </c>
      <c r="C147" s="0" t="s">
        <v>13</v>
      </c>
      <c r="D147" s="0" t="s">
        <v>64</v>
      </c>
      <c r="E147" s="58" t="str">
        <f aca="false">VLOOKUP(D147,Models!$A$2:$B$13,2,0)</f>
        <v>32-inch Smart TV</v>
      </c>
      <c r="F147" s="0" t="s">
        <v>69</v>
      </c>
      <c r="G147" s="58" t="str">
        <f aca="false">VLOOKUP(F147,Countries!$A$2:$B$11,2,0)</f>
        <v>Egypt</v>
      </c>
      <c r="H147" s="13" t="n">
        <v>41</v>
      </c>
      <c r="I147" s="13" t="n">
        <v>188600</v>
      </c>
      <c r="J147" s="0" t="s">
        <v>12</v>
      </c>
      <c r="K147" s="0" t="s">
        <v>178</v>
      </c>
    </row>
    <row r="148" customFormat="false" ht="12.8" hidden="false" customHeight="false" outlineLevel="0" collapsed="false">
      <c r="A148" s="57" t="n">
        <v>46215</v>
      </c>
      <c r="B148" s="0" t="s">
        <v>233</v>
      </c>
      <c r="C148" s="0" t="s">
        <v>13</v>
      </c>
      <c r="D148" s="0" t="s">
        <v>64</v>
      </c>
      <c r="E148" s="58" t="str">
        <f aca="false">VLOOKUP(D148,Models!$A$2:$B$13,2,0)</f>
        <v>32-inch Smart TV</v>
      </c>
      <c r="F148" s="0" t="s">
        <v>103</v>
      </c>
      <c r="G148" s="58" t="str">
        <f aca="false">VLOOKUP(F148,Countries!$A$2:$B$11,2,0)</f>
        <v>Morocco</v>
      </c>
      <c r="H148" s="13" t="n">
        <v>41</v>
      </c>
      <c r="I148" s="13" t="n">
        <v>188600</v>
      </c>
      <c r="J148" s="0" t="s">
        <v>12</v>
      </c>
      <c r="K148" s="0" t="s">
        <v>178</v>
      </c>
    </row>
    <row r="149" customFormat="false" ht="12.8" hidden="false" customHeight="false" outlineLevel="0" collapsed="false">
      <c r="A149" s="57" t="n">
        <v>46215</v>
      </c>
      <c r="B149" s="0" t="s">
        <v>234</v>
      </c>
      <c r="C149" s="0" t="s">
        <v>13</v>
      </c>
      <c r="D149" s="0" t="s">
        <v>85</v>
      </c>
      <c r="E149" s="58" t="str">
        <f aca="false">VLOOKUP(D149,Models!$A$2:$B$13,2,0)</f>
        <v>75-inch 4K TV</v>
      </c>
      <c r="F149" s="0" t="s">
        <v>65</v>
      </c>
      <c r="G149" s="58" t="str">
        <f aca="false">VLOOKUP(F149,Countries!$A$2:$B$11,2,0)</f>
        <v>Jordan</v>
      </c>
      <c r="H149" s="13" t="n">
        <v>10</v>
      </c>
      <c r="I149" s="13" t="n">
        <v>312000</v>
      </c>
      <c r="J149" s="0" t="s">
        <v>12</v>
      </c>
      <c r="K149" s="0" t="s">
        <v>178</v>
      </c>
    </row>
    <row r="150" customFormat="false" ht="12.8" hidden="false" customHeight="false" outlineLevel="0" collapsed="false">
      <c r="A150" s="57" t="n">
        <v>46215</v>
      </c>
      <c r="B150" s="0" t="s">
        <v>235</v>
      </c>
      <c r="C150" s="0" t="s">
        <v>13</v>
      </c>
      <c r="D150" s="0" t="s">
        <v>92</v>
      </c>
      <c r="E150" s="58" t="str">
        <f aca="false">VLOOKUP(D150,Models!$A$2:$B$13,2,0)</f>
        <v>65-inch 4K TV</v>
      </c>
      <c r="F150" s="0" t="s">
        <v>65</v>
      </c>
      <c r="G150" s="58" t="str">
        <f aca="false">VLOOKUP(F150,Countries!$A$2:$B$11,2,0)</f>
        <v>Jordan</v>
      </c>
      <c r="H150" s="13" t="n">
        <v>18</v>
      </c>
      <c r="I150" s="13" t="n">
        <v>356400</v>
      </c>
      <c r="J150" s="0" t="s">
        <v>12</v>
      </c>
      <c r="K150" s="0" t="s">
        <v>178</v>
      </c>
    </row>
    <row r="151" customFormat="false" ht="12.8" hidden="false" customHeight="false" outlineLevel="0" collapsed="false">
      <c r="A151" s="57" t="n">
        <v>46215</v>
      </c>
      <c r="B151" s="0" t="s">
        <v>236</v>
      </c>
      <c r="C151" s="0" t="s">
        <v>15</v>
      </c>
      <c r="D151" s="0" t="s">
        <v>71</v>
      </c>
      <c r="E151" s="58" t="str">
        <f aca="false">VLOOKUP(D151,Models!$A$2:$B$13,2,0)</f>
        <v>43-inch Full HD TV</v>
      </c>
      <c r="F151" s="0" t="s">
        <v>101</v>
      </c>
      <c r="G151" s="58" t="str">
        <f aca="false">VLOOKUP(F151,Countries!$A$2:$B$11,2,0)</f>
        <v>Kuwait</v>
      </c>
      <c r="H151" s="13" t="n">
        <v>17</v>
      </c>
      <c r="I151" s="13" t="n">
        <v>117300</v>
      </c>
      <c r="J151" s="0" t="s">
        <v>12</v>
      </c>
      <c r="K151" s="0" t="s">
        <v>178</v>
      </c>
    </row>
    <row r="152" customFormat="false" ht="12.8" hidden="false" customHeight="false" outlineLevel="0" collapsed="false">
      <c r="A152" s="57" t="n">
        <v>46215</v>
      </c>
      <c r="B152" s="0" t="s">
        <v>237</v>
      </c>
      <c r="C152" s="0" t="s">
        <v>15</v>
      </c>
      <c r="D152" s="0" t="s">
        <v>90</v>
      </c>
      <c r="E152" s="58" t="str">
        <f aca="false">VLOOKUP(D152,Models!$A$2:$B$13,2,0)</f>
        <v>55-inch 4K TV</v>
      </c>
      <c r="F152" s="0" t="s">
        <v>69</v>
      </c>
      <c r="G152" s="58" t="str">
        <f aca="false">VLOOKUP(F152,Countries!$A$2:$B$11,2,0)</f>
        <v>Egypt</v>
      </c>
      <c r="H152" s="13" t="n">
        <v>12</v>
      </c>
      <c r="I152" s="13" t="n">
        <v>147600</v>
      </c>
      <c r="J152" s="0" t="s">
        <v>12</v>
      </c>
      <c r="K152" s="0" t="s">
        <v>178</v>
      </c>
    </row>
    <row r="153" customFormat="false" ht="12.8" hidden="false" customHeight="false" outlineLevel="0" collapsed="false">
      <c r="A153" s="57" t="n">
        <v>46215</v>
      </c>
      <c r="B153" s="0" t="s">
        <v>238</v>
      </c>
      <c r="C153" s="0" t="s">
        <v>15</v>
      </c>
      <c r="D153" s="0" t="s">
        <v>90</v>
      </c>
      <c r="E153" s="58" t="str">
        <f aca="false">VLOOKUP(D153,Models!$A$2:$B$13,2,0)</f>
        <v>55-inch 4K TV</v>
      </c>
      <c r="F153" s="0" t="s">
        <v>69</v>
      </c>
      <c r="G153" s="58" t="str">
        <f aca="false">VLOOKUP(F153,Countries!$A$2:$B$11,2,0)</f>
        <v>Egypt</v>
      </c>
      <c r="H153" s="13" t="n">
        <v>17</v>
      </c>
      <c r="I153" s="13" t="n">
        <v>209100</v>
      </c>
      <c r="J153" s="0" t="s">
        <v>12</v>
      </c>
      <c r="K153" s="0" t="s">
        <v>178</v>
      </c>
    </row>
    <row r="154" customFormat="false" ht="12.8" hidden="false" customHeight="false" outlineLevel="0" collapsed="false">
      <c r="A154" s="57" t="n">
        <v>46215</v>
      </c>
      <c r="B154" s="0" t="s">
        <v>239</v>
      </c>
      <c r="C154" s="0" t="s">
        <v>17</v>
      </c>
      <c r="D154" s="0" t="s">
        <v>71</v>
      </c>
      <c r="E154" s="58" t="str">
        <f aca="false">VLOOKUP(D154,Models!$A$2:$B$13,2,0)</f>
        <v>43-inch Full HD TV</v>
      </c>
      <c r="F154" s="0" t="s">
        <v>72</v>
      </c>
      <c r="G154" s="58" t="str">
        <f aca="false">VLOOKUP(F154,Countries!$A$2:$B$11,2,0)</f>
        <v>Kenya</v>
      </c>
      <c r="H154" s="13" t="n">
        <v>28</v>
      </c>
      <c r="I154" s="13" t="n">
        <v>193200</v>
      </c>
      <c r="J154" s="0" t="s">
        <v>12</v>
      </c>
      <c r="K154" s="0" t="s">
        <v>178</v>
      </c>
    </row>
    <row r="155" customFormat="false" ht="12.8" hidden="false" customHeight="false" outlineLevel="0" collapsed="false">
      <c r="A155" s="57" t="n">
        <v>46215</v>
      </c>
      <c r="B155" s="0" t="s">
        <v>240</v>
      </c>
      <c r="C155" s="0" t="s">
        <v>17</v>
      </c>
      <c r="D155" s="0" t="s">
        <v>85</v>
      </c>
      <c r="E155" s="58" t="str">
        <f aca="false">VLOOKUP(D155,Models!$A$2:$B$13,2,0)</f>
        <v>75-inch 4K TV</v>
      </c>
      <c r="F155" s="0" t="s">
        <v>69</v>
      </c>
      <c r="G155" s="58" t="str">
        <f aca="false">VLOOKUP(F155,Countries!$A$2:$B$11,2,0)</f>
        <v>Egypt</v>
      </c>
      <c r="H155" s="13" t="n">
        <v>10</v>
      </c>
      <c r="I155" s="13" t="n">
        <v>312000</v>
      </c>
      <c r="J155" s="0" t="s">
        <v>12</v>
      </c>
      <c r="K155" s="0" t="s">
        <v>178</v>
      </c>
    </row>
    <row r="156" customFormat="false" ht="12.8" hidden="false" customHeight="false" outlineLevel="0" collapsed="false">
      <c r="A156" s="57" t="n">
        <v>46215</v>
      </c>
      <c r="B156" s="0" t="s">
        <v>241</v>
      </c>
      <c r="C156" s="0" t="s">
        <v>17</v>
      </c>
      <c r="D156" s="0" t="s">
        <v>64</v>
      </c>
      <c r="E156" s="58" t="str">
        <f aca="false">VLOOKUP(D156,Models!$A$2:$B$13,2,0)</f>
        <v>32-inch Smart TV</v>
      </c>
      <c r="F156" s="0" t="s">
        <v>69</v>
      </c>
      <c r="G156" s="58" t="str">
        <f aca="false">VLOOKUP(F156,Countries!$A$2:$B$11,2,0)</f>
        <v>Egypt</v>
      </c>
      <c r="H156" s="13" t="n">
        <v>52</v>
      </c>
      <c r="I156" s="13" t="n">
        <v>239200</v>
      </c>
      <c r="J156" s="0" t="s">
        <v>12</v>
      </c>
      <c r="K156" s="0" t="s">
        <v>178</v>
      </c>
    </row>
    <row r="157" customFormat="false" ht="12.8" hidden="false" customHeight="false" outlineLevel="0" collapsed="false">
      <c r="A157" s="57" t="n">
        <v>46215</v>
      </c>
      <c r="B157" s="0" t="s">
        <v>242</v>
      </c>
      <c r="C157" s="0" t="s">
        <v>17</v>
      </c>
      <c r="D157" s="0" t="s">
        <v>90</v>
      </c>
      <c r="E157" s="58" t="str">
        <f aca="false">VLOOKUP(D157,Models!$A$2:$B$13,2,0)</f>
        <v>55-inch 4K TV</v>
      </c>
      <c r="F157" s="0" t="s">
        <v>101</v>
      </c>
      <c r="G157" s="58" t="str">
        <f aca="false">VLOOKUP(F157,Countries!$A$2:$B$11,2,0)</f>
        <v>Kuwait</v>
      </c>
      <c r="H157" s="13" t="n">
        <v>6</v>
      </c>
      <c r="I157" s="13" t="n">
        <v>73800</v>
      </c>
      <c r="J157" s="0" t="s">
        <v>12</v>
      </c>
      <c r="K157" s="0" t="s">
        <v>178</v>
      </c>
    </row>
    <row r="158" customFormat="false" ht="12.8" hidden="false" customHeight="false" outlineLevel="0" collapsed="false">
      <c r="A158" s="57" t="n">
        <v>46215</v>
      </c>
      <c r="B158" s="0" t="s">
        <v>243</v>
      </c>
      <c r="C158" s="0" t="s">
        <v>17</v>
      </c>
      <c r="D158" s="0" t="s">
        <v>81</v>
      </c>
      <c r="E158" s="58" t="str">
        <f aca="false">VLOOKUP(D158,Models!$A$2:$B$13,2,0)</f>
        <v>43-inch Smart TV</v>
      </c>
      <c r="F158" s="0" t="s">
        <v>65</v>
      </c>
      <c r="G158" s="58" t="str">
        <f aca="false">VLOOKUP(F158,Countries!$A$2:$B$11,2,0)</f>
        <v>Jordan</v>
      </c>
      <c r="H158" s="13" t="n">
        <v>10</v>
      </c>
      <c r="I158" s="13" t="n">
        <v>78000</v>
      </c>
      <c r="J158" s="0" t="s">
        <v>12</v>
      </c>
      <c r="K158" s="0" t="s">
        <v>178</v>
      </c>
    </row>
    <row r="159" customFormat="false" ht="12.8" hidden="false" customHeight="false" outlineLevel="0" collapsed="false">
      <c r="A159" s="57" t="n">
        <v>46215</v>
      </c>
      <c r="B159" s="0" t="s">
        <v>244</v>
      </c>
      <c r="C159" s="0" t="s">
        <v>19</v>
      </c>
      <c r="D159" s="0" t="s">
        <v>74</v>
      </c>
      <c r="E159" s="58" t="str">
        <f aca="false">VLOOKUP(D159,Models!$A$2:$B$13,2,0)</f>
        <v>40-inch Full HD TV</v>
      </c>
      <c r="F159" s="0" t="s">
        <v>69</v>
      </c>
      <c r="G159" s="58" t="str">
        <f aca="false">VLOOKUP(F159,Countries!$A$2:$B$11,2,0)</f>
        <v>Egypt</v>
      </c>
      <c r="H159" s="13" t="n">
        <v>17</v>
      </c>
      <c r="I159" s="13" t="n">
        <v>105400</v>
      </c>
      <c r="J159" s="0" t="s">
        <v>12</v>
      </c>
      <c r="K159" s="0" t="s">
        <v>178</v>
      </c>
    </row>
    <row r="160" customFormat="false" ht="12.8" hidden="false" customHeight="false" outlineLevel="0" collapsed="false">
      <c r="A160" s="57" t="n">
        <v>46215</v>
      </c>
      <c r="B160" s="0" t="s">
        <v>245</v>
      </c>
      <c r="C160" s="0" t="s">
        <v>19</v>
      </c>
      <c r="D160" s="0" t="s">
        <v>68</v>
      </c>
      <c r="E160" s="58" t="str">
        <f aca="false">VLOOKUP(D160,Models!$A$2:$B$13,2,0)</f>
        <v>50-inch 4K TV</v>
      </c>
      <c r="F160" s="0" t="s">
        <v>83</v>
      </c>
      <c r="G160" s="58" t="str">
        <f aca="false">VLOOKUP(F160,Countries!$A$2:$B$11,2,0)</f>
        <v>United Arab Emirates</v>
      </c>
      <c r="H160" s="13" t="n">
        <v>25</v>
      </c>
      <c r="I160" s="13" t="n">
        <v>260000</v>
      </c>
      <c r="J160" s="0" t="s">
        <v>12</v>
      </c>
      <c r="K160" s="0" t="s">
        <v>178</v>
      </c>
    </row>
    <row r="161" customFormat="false" ht="12.8" hidden="false" customHeight="false" outlineLevel="0" collapsed="false">
      <c r="A161" s="57" t="n">
        <v>46215</v>
      </c>
      <c r="B161" s="0" t="s">
        <v>246</v>
      </c>
      <c r="C161" s="0" t="s">
        <v>19</v>
      </c>
      <c r="D161" s="0" t="s">
        <v>74</v>
      </c>
      <c r="E161" s="58" t="str">
        <f aca="false">VLOOKUP(D161,Models!$A$2:$B$13,2,0)</f>
        <v>40-inch Full HD TV</v>
      </c>
      <c r="F161" s="0" t="s">
        <v>69</v>
      </c>
      <c r="G161" s="58" t="str">
        <f aca="false">VLOOKUP(F161,Countries!$A$2:$B$11,2,0)</f>
        <v>Egypt</v>
      </c>
      <c r="H161" s="13" t="n">
        <v>14</v>
      </c>
      <c r="I161" s="13" t="n">
        <v>86800</v>
      </c>
      <c r="J161" s="0" t="s">
        <v>12</v>
      </c>
      <c r="K161" s="0" t="s">
        <v>178</v>
      </c>
    </row>
    <row r="162" customFormat="false" ht="12.8" hidden="false" customHeight="false" outlineLevel="0" collapsed="false">
      <c r="A162" s="57" t="n">
        <v>46215</v>
      </c>
      <c r="B162" s="0" t="s">
        <v>247</v>
      </c>
      <c r="C162" s="0" t="s">
        <v>20</v>
      </c>
      <c r="D162" s="0" t="s">
        <v>74</v>
      </c>
      <c r="E162" s="58" t="str">
        <f aca="false">VLOOKUP(D162,Models!$A$2:$B$13,2,0)</f>
        <v>40-inch Full HD TV</v>
      </c>
      <c r="F162" s="0" t="s">
        <v>72</v>
      </c>
      <c r="G162" s="58" t="str">
        <f aca="false">VLOOKUP(F162,Countries!$A$2:$B$11,2,0)</f>
        <v>Kenya</v>
      </c>
      <c r="H162" s="13" t="n">
        <v>42</v>
      </c>
      <c r="I162" s="13" t="n">
        <v>260400</v>
      </c>
      <c r="J162" s="0" t="s">
        <v>12</v>
      </c>
      <c r="K162" s="0" t="s">
        <v>178</v>
      </c>
    </row>
    <row r="163" customFormat="false" ht="12.8" hidden="false" customHeight="false" outlineLevel="0" collapsed="false">
      <c r="A163" s="57" t="n">
        <v>46215</v>
      </c>
      <c r="B163" s="0" t="s">
        <v>248</v>
      </c>
      <c r="C163" s="0" t="s">
        <v>20</v>
      </c>
      <c r="D163" s="0" t="s">
        <v>109</v>
      </c>
      <c r="E163" s="58" t="str">
        <f aca="false">VLOOKUP(D163,Models!$A$2:$B$13,2,0)</f>
        <v>55-inch QLED TV</v>
      </c>
      <c r="F163" s="0" t="s">
        <v>69</v>
      </c>
      <c r="G163" s="58" t="str">
        <f aca="false">VLOOKUP(F163,Countries!$A$2:$B$11,2,0)</f>
        <v>Egypt</v>
      </c>
      <c r="H163" s="13" t="n">
        <v>30</v>
      </c>
      <c r="I163" s="13" t="n">
        <v>468000</v>
      </c>
      <c r="J163" s="0" t="s">
        <v>12</v>
      </c>
      <c r="K163" s="0" t="s">
        <v>178</v>
      </c>
    </row>
    <row r="164" customFormat="false" ht="12.8" hidden="false" customHeight="false" outlineLevel="0" collapsed="false">
      <c r="A164" s="57" t="n">
        <v>46215</v>
      </c>
      <c r="B164" s="0" t="s">
        <v>249</v>
      </c>
      <c r="C164" s="0" t="s">
        <v>21</v>
      </c>
      <c r="D164" s="0" t="s">
        <v>77</v>
      </c>
      <c r="E164" s="58" t="str">
        <f aca="false">VLOOKUP(D164,Models!$A$2:$B$13,2,0)</f>
        <v>65-inch QLED TV</v>
      </c>
      <c r="F164" s="0" t="s">
        <v>69</v>
      </c>
      <c r="G164" s="58" t="str">
        <f aca="false">VLOOKUP(F164,Countries!$A$2:$B$11,2,0)</f>
        <v>Egypt</v>
      </c>
      <c r="H164" s="13" t="n">
        <v>10</v>
      </c>
      <c r="I164" s="13" t="n">
        <v>245000</v>
      </c>
      <c r="J164" s="0" t="s">
        <v>12</v>
      </c>
      <c r="K164" s="0" t="s">
        <v>178</v>
      </c>
    </row>
    <row r="165" customFormat="false" ht="12.8" hidden="false" customHeight="false" outlineLevel="0" collapsed="false">
      <c r="A165" s="57" t="n">
        <v>46215</v>
      </c>
      <c r="B165" s="0" t="s">
        <v>250</v>
      </c>
      <c r="C165" s="0" t="s">
        <v>21</v>
      </c>
      <c r="D165" s="0" t="s">
        <v>95</v>
      </c>
      <c r="E165" s="58" t="str">
        <f aca="false">VLOOKUP(D165,Models!$A$2:$B$13,2,0)</f>
        <v>32-inch HD TV</v>
      </c>
      <c r="F165" s="0" t="s">
        <v>69</v>
      </c>
      <c r="G165" s="58" t="str">
        <f aca="false">VLOOKUP(F165,Countries!$A$2:$B$11,2,0)</f>
        <v>Egypt</v>
      </c>
      <c r="H165" s="13" t="n">
        <v>5</v>
      </c>
      <c r="I165" s="13" t="n">
        <v>19500</v>
      </c>
      <c r="J165" s="0" t="s">
        <v>12</v>
      </c>
      <c r="K165" s="0" t="s">
        <v>178</v>
      </c>
    </row>
    <row r="166" customFormat="false" ht="12.8" hidden="false" customHeight="false" outlineLevel="0" collapsed="false">
      <c r="A166" s="57" t="n">
        <v>46215</v>
      </c>
      <c r="B166" s="0" t="s">
        <v>251</v>
      </c>
      <c r="C166" s="0" t="s">
        <v>21</v>
      </c>
      <c r="D166" s="0" t="s">
        <v>95</v>
      </c>
      <c r="E166" s="58" t="str">
        <f aca="false">VLOOKUP(D166,Models!$A$2:$B$13,2,0)</f>
        <v>32-inch HD TV</v>
      </c>
      <c r="F166" s="0" t="s">
        <v>103</v>
      </c>
      <c r="G166" s="58" t="str">
        <f aca="false">VLOOKUP(F166,Countries!$A$2:$B$11,2,0)</f>
        <v>Morocco</v>
      </c>
      <c r="H166" s="13" t="n">
        <v>31</v>
      </c>
      <c r="I166" s="13" t="n">
        <v>120900</v>
      </c>
      <c r="J166" s="0" t="s">
        <v>12</v>
      </c>
      <c r="K166" s="0" t="s">
        <v>178</v>
      </c>
    </row>
    <row r="167" customFormat="false" ht="12.8" hidden="false" customHeight="false" outlineLevel="0" collapsed="false">
      <c r="A167" s="57" t="n">
        <v>46216</v>
      </c>
      <c r="B167" s="0" t="s">
        <v>252</v>
      </c>
      <c r="C167" s="0" t="s">
        <v>13</v>
      </c>
      <c r="D167" s="0" t="s">
        <v>68</v>
      </c>
      <c r="E167" s="58" t="str">
        <f aca="false">VLOOKUP(D167,Models!$A$2:$B$13,2,0)</f>
        <v>50-inch 4K TV</v>
      </c>
      <c r="F167" s="0" t="s">
        <v>69</v>
      </c>
      <c r="G167" s="58" t="str">
        <f aca="false">VLOOKUP(F167,Countries!$A$2:$B$11,2,0)</f>
        <v>Egypt</v>
      </c>
      <c r="H167" s="13" t="n">
        <v>20</v>
      </c>
      <c r="I167" s="13" t="n">
        <v>208000</v>
      </c>
      <c r="J167" s="0" t="s">
        <v>12</v>
      </c>
      <c r="K167" s="0" t="s">
        <v>178</v>
      </c>
    </row>
    <row r="168" customFormat="false" ht="12.8" hidden="false" customHeight="false" outlineLevel="0" collapsed="false">
      <c r="A168" s="57" t="n">
        <v>46216</v>
      </c>
      <c r="B168" s="0" t="s">
        <v>253</v>
      </c>
      <c r="C168" s="0" t="s">
        <v>13</v>
      </c>
      <c r="D168" s="0" t="s">
        <v>85</v>
      </c>
      <c r="E168" s="58" t="str">
        <f aca="false">VLOOKUP(D168,Models!$A$2:$B$13,2,0)</f>
        <v>75-inch 4K TV</v>
      </c>
      <c r="F168" s="0" t="s">
        <v>65</v>
      </c>
      <c r="G168" s="58" t="str">
        <f aca="false">VLOOKUP(F168,Countries!$A$2:$B$11,2,0)</f>
        <v>Jordan</v>
      </c>
      <c r="H168" s="13" t="n">
        <v>7</v>
      </c>
      <c r="I168" s="13" t="n">
        <v>218400</v>
      </c>
      <c r="J168" s="0" t="s">
        <v>12</v>
      </c>
      <c r="K168" s="0" t="s">
        <v>178</v>
      </c>
    </row>
    <row r="169" customFormat="false" ht="12.8" hidden="false" customHeight="false" outlineLevel="0" collapsed="false">
      <c r="A169" s="57" t="n">
        <v>46216</v>
      </c>
      <c r="B169" s="0" t="s">
        <v>254</v>
      </c>
      <c r="C169" s="0" t="s">
        <v>15</v>
      </c>
      <c r="D169" s="0" t="s">
        <v>88</v>
      </c>
      <c r="E169" s="58" t="str">
        <f aca="false">VLOOKUP(D169,Models!$A$2:$B$13,2,0)</f>
        <v>24-inch HD TV</v>
      </c>
      <c r="F169" s="0" t="s">
        <v>177</v>
      </c>
      <c r="G169" s="58" t="str">
        <f aca="false">VLOOKUP(F169,Countries!$A$2:$B$11,2,0)</f>
        <v>Saudi Arabia</v>
      </c>
      <c r="H169" s="13" t="n">
        <v>8</v>
      </c>
      <c r="I169" s="13" t="n">
        <v>23200</v>
      </c>
      <c r="J169" s="0" t="s">
        <v>12</v>
      </c>
      <c r="K169" s="0" t="s">
        <v>178</v>
      </c>
    </row>
    <row r="170" customFormat="false" ht="12.8" hidden="false" customHeight="false" outlineLevel="0" collapsed="false">
      <c r="A170" s="57" t="n">
        <v>46216</v>
      </c>
      <c r="B170" s="0" t="s">
        <v>255</v>
      </c>
      <c r="C170" s="0" t="s">
        <v>15</v>
      </c>
      <c r="D170" s="0" t="s">
        <v>85</v>
      </c>
      <c r="E170" s="58" t="str">
        <f aca="false">VLOOKUP(D170,Models!$A$2:$B$13,2,0)</f>
        <v>75-inch 4K TV</v>
      </c>
      <c r="F170" s="0" t="s">
        <v>177</v>
      </c>
      <c r="G170" s="58" t="str">
        <f aca="false">VLOOKUP(F170,Countries!$A$2:$B$11,2,0)</f>
        <v>Saudi Arabia</v>
      </c>
      <c r="H170" s="13" t="n">
        <v>12</v>
      </c>
      <c r="I170" s="13" t="n">
        <v>374400</v>
      </c>
      <c r="J170" s="0" t="s">
        <v>12</v>
      </c>
      <c r="K170" s="0" t="s">
        <v>178</v>
      </c>
    </row>
    <row r="171" customFormat="false" ht="12.8" hidden="false" customHeight="false" outlineLevel="0" collapsed="false">
      <c r="A171" s="57" t="n">
        <v>46216</v>
      </c>
      <c r="B171" s="0" t="s">
        <v>256</v>
      </c>
      <c r="C171" s="0" t="s">
        <v>17</v>
      </c>
      <c r="D171" s="0" t="s">
        <v>88</v>
      </c>
      <c r="E171" s="58" t="str">
        <f aca="false">VLOOKUP(D171,Models!$A$2:$B$13,2,0)</f>
        <v>24-inch HD TV</v>
      </c>
      <c r="F171" s="0" t="s">
        <v>101</v>
      </c>
      <c r="G171" s="58" t="str">
        <f aca="false">VLOOKUP(F171,Countries!$A$2:$B$11,2,0)</f>
        <v>Kuwait</v>
      </c>
      <c r="H171" s="13" t="n">
        <v>12</v>
      </c>
      <c r="I171" s="13" t="n">
        <v>34800</v>
      </c>
      <c r="J171" s="0" t="s">
        <v>12</v>
      </c>
      <c r="K171" s="0" t="s">
        <v>178</v>
      </c>
    </row>
    <row r="172" customFormat="false" ht="12.8" hidden="false" customHeight="false" outlineLevel="0" collapsed="false">
      <c r="A172" s="57" t="n">
        <v>46216</v>
      </c>
      <c r="B172" s="0" t="s">
        <v>257</v>
      </c>
      <c r="C172" s="0" t="s">
        <v>17</v>
      </c>
      <c r="D172" s="0" t="s">
        <v>90</v>
      </c>
      <c r="E172" s="58" t="str">
        <f aca="false">VLOOKUP(D172,Models!$A$2:$B$13,2,0)</f>
        <v>55-inch 4K TV</v>
      </c>
      <c r="F172" s="0" t="s">
        <v>69</v>
      </c>
      <c r="G172" s="58" t="str">
        <f aca="false">VLOOKUP(F172,Countries!$A$2:$B$11,2,0)</f>
        <v>Egypt</v>
      </c>
      <c r="H172" s="13" t="n">
        <v>25</v>
      </c>
      <c r="I172" s="13" t="n">
        <v>307500</v>
      </c>
      <c r="J172" s="0" t="s">
        <v>12</v>
      </c>
      <c r="K172" s="0" t="s">
        <v>178</v>
      </c>
    </row>
    <row r="173" customFormat="false" ht="12.8" hidden="false" customHeight="false" outlineLevel="0" collapsed="false">
      <c r="A173" s="57" t="n">
        <v>46216</v>
      </c>
      <c r="B173" s="0" t="s">
        <v>258</v>
      </c>
      <c r="C173" s="0" t="s">
        <v>17</v>
      </c>
      <c r="D173" s="0" t="s">
        <v>68</v>
      </c>
      <c r="E173" s="58" t="str">
        <f aca="false">VLOOKUP(D173,Models!$A$2:$B$13,2,0)</f>
        <v>50-inch 4K TV</v>
      </c>
      <c r="F173" s="0" t="s">
        <v>98</v>
      </c>
      <c r="G173" s="58" t="str">
        <f aca="false">VLOOKUP(F173,Countries!$A$2:$B$11,2,0)</f>
        <v>Libya</v>
      </c>
      <c r="H173" s="13" t="n">
        <v>29</v>
      </c>
      <c r="I173" s="13" t="n">
        <v>301600</v>
      </c>
      <c r="J173" s="0" t="s">
        <v>12</v>
      </c>
      <c r="K173" s="0" t="s">
        <v>178</v>
      </c>
    </row>
    <row r="174" customFormat="false" ht="12.8" hidden="false" customHeight="false" outlineLevel="0" collapsed="false">
      <c r="A174" s="57" t="n">
        <v>46216</v>
      </c>
      <c r="B174" s="0" t="s">
        <v>259</v>
      </c>
      <c r="C174" s="0" t="s">
        <v>17</v>
      </c>
      <c r="D174" s="0" t="s">
        <v>90</v>
      </c>
      <c r="E174" s="58" t="str">
        <f aca="false">VLOOKUP(D174,Models!$A$2:$B$13,2,0)</f>
        <v>55-inch 4K TV</v>
      </c>
      <c r="F174" s="0" t="s">
        <v>69</v>
      </c>
      <c r="G174" s="58" t="str">
        <f aca="false">VLOOKUP(F174,Countries!$A$2:$B$11,2,0)</f>
        <v>Egypt</v>
      </c>
      <c r="H174" s="13" t="n">
        <v>34</v>
      </c>
      <c r="I174" s="13" t="n">
        <v>418200</v>
      </c>
      <c r="J174" s="0" t="s">
        <v>12</v>
      </c>
      <c r="K174" s="0" t="s">
        <v>178</v>
      </c>
    </row>
    <row r="175" customFormat="false" ht="12.8" hidden="false" customHeight="false" outlineLevel="0" collapsed="false">
      <c r="A175" s="57" t="n">
        <v>46216</v>
      </c>
      <c r="B175" s="0" t="s">
        <v>260</v>
      </c>
      <c r="C175" s="0" t="s">
        <v>19</v>
      </c>
      <c r="D175" s="0" t="s">
        <v>81</v>
      </c>
      <c r="E175" s="58" t="str">
        <f aca="false">VLOOKUP(D175,Models!$A$2:$B$13,2,0)</f>
        <v>43-inch Smart TV</v>
      </c>
      <c r="F175" s="0" t="s">
        <v>69</v>
      </c>
      <c r="G175" s="58" t="str">
        <f aca="false">VLOOKUP(F175,Countries!$A$2:$B$11,2,0)</f>
        <v>Egypt</v>
      </c>
      <c r="H175" s="13" t="n">
        <v>48</v>
      </c>
      <c r="I175" s="13" t="n">
        <v>374400</v>
      </c>
      <c r="J175" s="0" t="s">
        <v>12</v>
      </c>
      <c r="K175" s="0" t="s">
        <v>178</v>
      </c>
    </row>
    <row r="176" customFormat="false" ht="12.8" hidden="false" customHeight="false" outlineLevel="0" collapsed="false">
      <c r="A176" s="57" t="n">
        <v>46216</v>
      </c>
      <c r="B176" s="0" t="s">
        <v>261</v>
      </c>
      <c r="C176" s="0" t="s">
        <v>19</v>
      </c>
      <c r="D176" s="0" t="s">
        <v>81</v>
      </c>
      <c r="E176" s="58" t="str">
        <f aca="false">VLOOKUP(D176,Models!$A$2:$B$13,2,0)</f>
        <v>43-inch Smart TV</v>
      </c>
      <c r="F176" s="0" t="s">
        <v>69</v>
      </c>
      <c r="G176" s="58" t="str">
        <f aca="false">VLOOKUP(F176,Countries!$A$2:$B$11,2,0)</f>
        <v>Egypt</v>
      </c>
      <c r="H176" s="13" t="n">
        <v>23</v>
      </c>
      <c r="I176" s="13" t="n">
        <v>179400</v>
      </c>
      <c r="J176" s="0" t="s">
        <v>12</v>
      </c>
      <c r="K176" s="0" t="s">
        <v>178</v>
      </c>
    </row>
    <row r="177" customFormat="false" ht="12.8" hidden="false" customHeight="false" outlineLevel="0" collapsed="false">
      <c r="A177" s="57" t="n">
        <v>46216</v>
      </c>
      <c r="B177" s="0" t="s">
        <v>262</v>
      </c>
      <c r="C177" s="0" t="s">
        <v>19</v>
      </c>
      <c r="D177" s="0" t="s">
        <v>77</v>
      </c>
      <c r="E177" s="58" t="str">
        <f aca="false">VLOOKUP(D177,Models!$A$2:$B$13,2,0)</f>
        <v>65-inch QLED TV</v>
      </c>
      <c r="F177" s="0" t="s">
        <v>83</v>
      </c>
      <c r="G177" s="58" t="str">
        <f aca="false">VLOOKUP(F177,Countries!$A$2:$B$11,2,0)</f>
        <v>United Arab Emirates</v>
      </c>
      <c r="H177" s="13" t="n">
        <v>5</v>
      </c>
      <c r="I177" s="13" t="n">
        <v>122500</v>
      </c>
      <c r="J177" s="0" t="s">
        <v>12</v>
      </c>
      <c r="K177" s="0" t="s">
        <v>178</v>
      </c>
    </row>
    <row r="178" customFormat="false" ht="12.8" hidden="false" customHeight="false" outlineLevel="0" collapsed="false">
      <c r="A178" s="57" t="n">
        <v>46216</v>
      </c>
      <c r="B178" s="0" t="s">
        <v>263</v>
      </c>
      <c r="C178" s="0" t="s">
        <v>19</v>
      </c>
      <c r="D178" s="0" t="s">
        <v>71</v>
      </c>
      <c r="E178" s="58" t="str">
        <f aca="false">VLOOKUP(D178,Models!$A$2:$B$13,2,0)</f>
        <v>43-inch Full HD TV</v>
      </c>
      <c r="F178" s="0" t="s">
        <v>69</v>
      </c>
      <c r="G178" s="58" t="str">
        <f aca="false">VLOOKUP(F178,Countries!$A$2:$B$11,2,0)</f>
        <v>Egypt</v>
      </c>
      <c r="H178" s="13" t="n">
        <v>31</v>
      </c>
      <c r="I178" s="13" t="n">
        <v>213900</v>
      </c>
      <c r="J178" s="0" t="s">
        <v>12</v>
      </c>
      <c r="K178" s="0" t="s">
        <v>178</v>
      </c>
    </row>
    <row r="179" customFormat="false" ht="12.8" hidden="false" customHeight="false" outlineLevel="0" collapsed="false">
      <c r="A179" s="57" t="n">
        <v>46216</v>
      </c>
      <c r="B179" s="0" t="s">
        <v>264</v>
      </c>
      <c r="C179" s="0" t="s">
        <v>20</v>
      </c>
      <c r="D179" s="0" t="s">
        <v>109</v>
      </c>
      <c r="E179" s="58" t="str">
        <f aca="false">VLOOKUP(D179,Models!$A$2:$B$13,2,0)</f>
        <v>55-inch QLED TV</v>
      </c>
      <c r="F179" s="0" t="s">
        <v>69</v>
      </c>
      <c r="G179" s="58" t="str">
        <f aca="false">VLOOKUP(F179,Countries!$A$2:$B$11,2,0)</f>
        <v>Egypt</v>
      </c>
      <c r="H179" s="13" t="n">
        <v>12</v>
      </c>
      <c r="I179" s="13" t="n">
        <v>187200</v>
      </c>
      <c r="J179" s="0" t="s">
        <v>12</v>
      </c>
      <c r="K179" s="0" t="s">
        <v>178</v>
      </c>
    </row>
    <row r="180" customFormat="false" ht="12.8" hidden="false" customHeight="false" outlineLevel="0" collapsed="false">
      <c r="A180" s="57" t="n">
        <v>46216</v>
      </c>
      <c r="B180" s="0" t="s">
        <v>265</v>
      </c>
      <c r="C180" s="0" t="s">
        <v>20</v>
      </c>
      <c r="D180" s="0" t="s">
        <v>92</v>
      </c>
      <c r="E180" s="58" t="str">
        <f aca="false">VLOOKUP(D180,Models!$A$2:$B$13,2,0)</f>
        <v>65-inch 4K TV</v>
      </c>
      <c r="F180" s="0" t="s">
        <v>69</v>
      </c>
      <c r="G180" s="58" t="str">
        <f aca="false">VLOOKUP(F180,Countries!$A$2:$B$11,2,0)</f>
        <v>Egypt</v>
      </c>
      <c r="H180" s="13" t="n">
        <v>8</v>
      </c>
      <c r="I180" s="13" t="n">
        <v>158400</v>
      </c>
      <c r="J180" s="0" t="s">
        <v>12</v>
      </c>
      <c r="K180" s="0" t="s">
        <v>178</v>
      </c>
    </row>
    <row r="181" customFormat="false" ht="12.8" hidden="false" customHeight="false" outlineLevel="0" collapsed="false">
      <c r="A181" s="57" t="n">
        <v>46216</v>
      </c>
      <c r="B181" s="0" t="s">
        <v>266</v>
      </c>
      <c r="C181" s="0" t="s">
        <v>20</v>
      </c>
      <c r="D181" s="0" t="s">
        <v>74</v>
      </c>
      <c r="E181" s="58" t="str">
        <f aca="false">VLOOKUP(D181,Models!$A$2:$B$13,2,0)</f>
        <v>40-inch Full HD TV</v>
      </c>
      <c r="F181" s="0" t="s">
        <v>101</v>
      </c>
      <c r="G181" s="58" t="str">
        <f aca="false">VLOOKUP(F181,Countries!$A$2:$B$11,2,0)</f>
        <v>Kuwait</v>
      </c>
      <c r="H181" s="13" t="n">
        <v>43</v>
      </c>
      <c r="I181" s="13" t="n">
        <v>266600</v>
      </c>
      <c r="J181" s="0" t="s">
        <v>12</v>
      </c>
      <c r="K181" s="0" t="s">
        <v>178</v>
      </c>
    </row>
    <row r="182" customFormat="false" ht="12.8" hidden="false" customHeight="false" outlineLevel="0" collapsed="false">
      <c r="A182" s="57" t="n">
        <v>46216</v>
      </c>
      <c r="B182" s="0" t="s">
        <v>267</v>
      </c>
      <c r="C182" s="0" t="s">
        <v>20</v>
      </c>
      <c r="D182" s="0" t="s">
        <v>95</v>
      </c>
      <c r="E182" s="58" t="str">
        <f aca="false">VLOOKUP(D182,Models!$A$2:$B$13,2,0)</f>
        <v>32-inch HD TV</v>
      </c>
      <c r="F182" s="0" t="s">
        <v>69</v>
      </c>
      <c r="G182" s="58" t="str">
        <f aca="false">VLOOKUP(F182,Countries!$A$2:$B$11,2,0)</f>
        <v>Egypt</v>
      </c>
      <c r="H182" s="13" t="n">
        <v>26</v>
      </c>
      <c r="I182" s="13" t="n">
        <v>101400</v>
      </c>
      <c r="J182" s="0" t="s">
        <v>12</v>
      </c>
      <c r="K182" s="0" t="s">
        <v>178</v>
      </c>
    </row>
    <row r="183" customFormat="false" ht="12.8" hidden="false" customHeight="false" outlineLevel="0" collapsed="false">
      <c r="A183" s="57" t="n">
        <v>46216</v>
      </c>
      <c r="B183" s="0" t="s">
        <v>268</v>
      </c>
      <c r="C183" s="0" t="s">
        <v>21</v>
      </c>
      <c r="D183" s="0" t="s">
        <v>64</v>
      </c>
      <c r="E183" s="58" t="str">
        <f aca="false">VLOOKUP(D183,Models!$A$2:$B$13,2,0)</f>
        <v>32-inch Smart TV</v>
      </c>
      <c r="F183" s="0" t="s">
        <v>98</v>
      </c>
      <c r="G183" s="58" t="str">
        <f aca="false">VLOOKUP(F183,Countries!$A$2:$B$11,2,0)</f>
        <v>Libya</v>
      </c>
      <c r="H183" s="13" t="n">
        <v>5</v>
      </c>
      <c r="I183" s="13" t="n">
        <v>23000</v>
      </c>
      <c r="J183" s="0" t="s">
        <v>12</v>
      </c>
      <c r="K183" s="0" t="s">
        <v>178</v>
      </c>
    </row>
    <row r="184" customFormat="false" ht="12.8" hidden="false" customHeight="false" outlineLevel="0" collapsed="false">
      <c r="A184" s="57" t="n">
        <v>46216</v>
      </c>
      <c r="B184" s="0" t="s">
        <v>269</v>
      </c>
      <c r="C184" s="0" t="s">
        <v>21</v>
      </c>
      <c r="D184" s="0" t="s">
        <v>92</v>
      </c>
      <c r="E184" s="58" t="str">
        <f aca="false">VLOOKUP(D184,Models!$A$2:$B$13,2,0)</f>
        <v>65-inch 4K TV</v>
      </c>
      <c r="F184" s="0" t="s">
        <v>69</v>
      </c>
      <c r="G184" s="58" t="str">
        <f aca="false">VLOOKUP(F184,Countries!$A$2:$B$11,2,0)</f>
        <v>Egypt</v>
      </c>
      <c r="H184" s="13" t="n">
        <v>15</v>
      </c>
      <c r="I184" s="13" t="n">
        <v>297000</v>
      </c>
      <c r="J184" s="0" t="s">
        <v>12</v>
      </c>
      <c r="K184" s="0" t="s">
        <v>178</v>
      </c>
    </row>
    <row r="185" customFormat="false" ht="12.8" hidden="false" customHeight="false" outlineLevel="0" collapsed="false">
      <c r="A185" s="57" t="n">
        <v>46217</v>
      </c>
      <c r="B185" s="0" t="s">
        <v>270</v>
      </c>
      <c r="C185" s="0" t="s">
        <v>13</v>
      </c>
      <c r="D185" s="0" t="s">
        <v>85</v>
      </c>
      <c r="E185" s="58" t="str">
        <f aca="false">VLOOKUP(D185,Models!$A$2:$B$13,2,0)</f>
        <v>75-inch 4K TV</v>
      </c>
      <c r="F185" s="0" t="s">
        <v>75</v>
      </c>
      <c r="G185" s="58" t="str">
        <f aca="false">VLOOKUP(F185,Countries!$A$2:$B$11,2,0)</f>
        <v>Nigeria</v>
      </c>
      <c r="H185" s="13" t="n">
        <v>11</v>
      </c>
      <c r="I185" s="13" t="n">
        <v>343200</v>
      </c>
      <c r="J185" s="0" t="s">
        <v>12</v>
      </c>
      <c r="K185" s="0" t="s">
        <v>178</v>
      </c>
    </row>
    <row r="186" customFormat="false" ht="12.8" hidden="false" customHeight="false" outlineLevel="0" collapsed="false">
      <c r="A186" s="57" t="n">
        <v>46217</v>
      </c>
      <c r="B186" s="0" t="s">
        <v>271</v>
      </c>
      <c r="C186" s="0" t="s">
        <v>13</v>
      </c>
      <c r="D186" s="0" t="s">
        <v>77</v>
      </c>
      <c r="E186" s="58" t="str">
        <f aca="false">VLOOKUP(D186,Models!$A$2:$B$13,2,0)</f>
        <v>65-inch QLED TV</v>
      </c>
      <c r="F186" s="0" t="s">
        <v>177</v>
      </c>
      <c r="G186" s="58" t="str">
        <f aca="false">VLOOKUP(F186,Countries!$A$2:$B$11,2,0)</f>
        <v>Saudi Arabia</v>
      </c>
      <c r="H186" s="13" t="n">
        <v>16</v>
      </c>
      <c r="I186" s="13" t="n">
        <v>392000</v>
      </c>
      <c r="J186" s="0" t="s">
        <v>12</v>
      </c>
      <c r="K186" s="0" t="s">
        <v>178</v>
      </c>
    </row>
    <row r="187" customFormat="false" ht="12.8" hidden="false" customHeight="false" outlineLevel="0" collapsed="false">
      <c r="A187" s="57" t="n">
        <v>46217</v>
      </c>
      <c r="B187" s="0" t="s">
        <v>272</v>
      </c>
      <c r="C187" s="0" t="s">
        <v>13</v>
      </c>
      <c r="D187" s="0" t="s">
        <v>95</v>
      </c>
      <c r="E187" s="58" t="str">
        <f aca="false">VLOOKUP(D187,Models!$A$2:$B$13,2,0)</f>
        <v>32-inch HD TV</v>
      </c>
      <c r="F187" s="0" t="s">
        <v>101</v>
      </c>
      <c r="G187" s="58" t="str">
        <f aca="false">VLOOKUP(F187,Countries!$A$2:$B$11,2,0)</f>
        <v>Kuwait</v>
      </c>
      <c r="H187" s="13" t="n">
        <v>50</v>
      </c>
      <c r="I187" s="13" t="n">
        <v>195000</v>
      </c>
      <c r="J187" s="0" t="s">
        <v>12</v>
      </c>
      <c r="K187" s="0" t="s">
        <v>178</v>
      </c>
    </row>
    <row r="188" customFormat="false" ht="12.8" hidden="false" customHeight="false" outlineLevel="0" collapsed="false">
      <c r="A188" s="57" t="n">
        <v>46217</v>
      </c>
      <c r="B188" s="0" t="s">
        <v>273</v>
      </c>
      <c r="C188" s="0" t="s">
        <v>13</v>
      </c>
      <c r="D188" s="0" t="s">
        <v>95</v>
      </c>
      <c r="E188" s="58" t="str">
        <f aca="false">VLOOKUP(D188,Models!$A$2:$B$13,2,0)</f>
        <v>32-inch HD TV</v>
      </c>
      <c r="F188" s="0" t="s">
        <v>69</v>
      </c>
      <c r="G188" s="58" t="str">
        <f aca="false">VLOOKUP(F188,Countries!$A$2:$B$11,2,0)</f>
        <v>Egypt</v>
      </c>
      <c r="H188" s="13" t="n">
        <v>21</v>
      </c>
      <c r="I188" s="13" t="n">
        <v>81900</v>
      </c>
      <c r="J188" s="0" t="s">
        <v>12</v>
      </c>
      <c r="K188" s="0" t="s">
        <v>178</v>
      </c>
    </row>
    <row r="189" customFormat="false" ht="12.8" hidden="false" customHeight="false" outlineLevel="0" collapsed="false">
      <c r="A189" s="57" t="n">
        <v>46217</v>
      </c>
      <c r="B189" s="0" t="s">
        <v>274</v>
      </c>
      <c r="C189" s="0" t="s">
        <v>15</v>
      </c>
      <c r="D189" s="0" t="s">
        <v>85</v>
      </c>
      <c r="E189" s="58" t="str">
        <f aca="false">VLOOKUP(D189,Models!$A$2:$B$13,2,0)</f>
        <v>75-inch 4K TV</v>
      </c>
      <c r="F189" s="0" t="s">
        <v>69</v>
      </c>
      <c r="G189" s="58" t="str">
        <f aca="false">VLOOKUP(F189,Countries!$A$2:$B$11,2,0)</f>
        <v>Egypt</v>
      </c>
      <c r="H189" s="13" t="n">
        <v>7</v>
      </c>
      <c r="I189" s="13" t="n">
        <v>218400</v>
      </c>
      <c r="J189" s="0" t="s">
        <v>12</v>
      </c>
      <c r="K189" s="0" t="s">
        <v>178</v>
      </c>
    </row>
    <row r="190" customFormat="false" ht="12.8" hidden="false" customHeight="false" outlineLevel="0" collapsed="false">
      <c r="A190" s="57" t="n">
        <v>46217</v>
      </c>
      <c r="B190" s="0" t="s">
        <v>275</v>
      </c>
      <c r="C190" s="0" t="s">
        <v>15</v>
      </c>
      <c r="D190" s="0" t="s">
        <v>90</v>
      </c>
      <c r="E190" s="58" t="str">
        <f aca="false">VLOOKUP(D190,Models!$A$2:$B$13,2,0)</f>
        <v>55-inch 4K TV</v>
      </c>
      <c r="F190" s="0" t="s">
        <v>69</v>
      </c>
      <c r="G190" s="58" t="str">
        <f aca="false">VLOOKUP(F190,Countries!$A$2:$B$11,2,0)</f>
        <v>Egypt</v>
      </c>
      <c r="H190" s="13" t="n">
        <v>10</v>
      </c>
      <c r="I190" s="13" t="n">
        <v>123000</v>
      </c>
      <c r="J190" s="0" t="s">
        <v>12</v>
      </c>
      <c r="K190" s="0" t="s">
        <v>178</v>
      </c>
    </row>
    <row r="191" customFormat="false" ht="12.8" hidden="false" customHeight="false" outlineLevel="0" collapsed="false">
      <c r="A191" s="57" t="n">
        <v>46217</v>
      </c>
      <c r="B191" s="0" t="s">
        <v>276</v>
      </c>
      <c r="C191" s="0" t="s">
        <v>15</v>
      </c>
      <c r="D191" s="0" t="s">
        <v>64</v>
      </c>
      <c r="E191" s="58" t="str">
        <f aca="false">VLOOKUP(D191,Models!$A$2:$B$13,2,0)</f>
        <v>32-inch Smart TV</v>
      </c>
      <c r="F191" s="0" t="s">
        <v>69</v>
      </c>
      <c r="G191" s="58" t="str">
        <f aca="false">VLOOKUP(F191,Countries!$A$2:$B$11,2,0)</f>
        <v>Egypt</v>
      </c>
      <c r="H191" s="13" t="n">
        <v>7</v>
      </c>
      <c r="I191" s="13" t="n">
        <v>32200</v>
      </c>
      <c r="J191" s="0" t="s">
        <v>12</v>
      </c>
      <c r="K191" s="0" t="s">
        <v>178</v>
      </c>
    </row>
    <row r="192" customFormat="false" ht="12.8" hidden="false" customHeight="false" outlineLevel="0" collapsed="false">
      <c r="A192" s="57" t="n">
        <v>46217</v>
      </c>
      <c r="B192" s="0" t="s">
        <v>277</v>
      </c>
      <c r="C192" s="0" t="s">
        <v>17</v>
      </c>
      <c r="D192" s="0" t="s">
        <v>109</v>
      </c>
      <c r="E192" s="58" t="str">
        <f aca="false">VLOOKUP(D192,Models!$A$2:$B$13,2,0)</f>
        <v>55-inch QLED TV</v>
      </c>
      <c r="F192" s="0" t="s">
        <v>69</v>
      </c>
      <c r="G192" s="58" t="str">
        <f aca="false">VLOOKUP(F192,Countries!$A$2:$B$11,2,0)</f>
        <v>Egypt</v>
      </c>
      <c r="H192" s="13" t="n">
        <v>7</v>
      </c>
      <c r="I192" s="13" t="n">
        <v>109200</v>
      </c>
      <c r="J192" s="0" t="s">
        <v>12</v>
      </c>
      <c r="K192" s="0" t="s">
        <v>178</v>
      </c>
    </row>
    <row r="193" customFormat="false" ht="12.8" hidden="false" customHeight="false" outlineLevel="0" collapsed="false">
      <c r="A193" s="57" t="n">
        <v>46217</v>
      </c>
      <c r="B193" s="0" t="s">
        <v>278</v>
      </c>
      <c r="C193" s="0" t="s">
        <v>17</v>
      </c>
      <c r="D193" s="0" t="s">
        <v>88</v>
      </c>
      <c r="E193" s="58" t="str">
        <f aca="false">VLOOKUP(D193,Models!$A$2:$B$13,2,0)</f>
        <v>24-inch HD TV</v>
      </c>
      <c r="F193" s="0" t="s">
        <v>65</v>
      </c>
      <c r="G193" s="58" t="str">
        <f aca="false">VLOOKUP(F193,Countries!$A$2:$B$11,2,0)</f>
        <v>Jordan</v>
      </c>
      <c r="H193" s="13" t="n">
        <v>45</v>
      </c>
      <c r="I193" s="13" t="n">
        <v>130500</v>
      </c>
      <c r="J193" s="0" t="s">
        <v>12</v>
      </c>
      <c r="K193" s="0" t="s">
        <v>178</v>
      </c>
    </row>
    <row r="194" customFormat="false" ht="12.8" hidden="false" customHeight="false" outlineLevel="0" collapsed="false">
      <c r="A194" s="57" t="n">
        <v>46217</v>
      </c>
      <c r="B194" s="0" t="s">
        <v>279</v>
      </c>
      <c r="C194" s="0" t="s">
        <v>17</v>
      </c>
      <c r="D194" s="0" t="s">
        <v>88</v>
      </c>
      <c r="E194" s="58" t="str">
        <f aca="false">VLOOKUP(D194,Models!$A$2:$B$13,2,0)</f>
        <v>24-inch HD TV</v>
      </c>
      <c r="F194" s="0" t="s">
        <v>177</v>
      </c>
      <c r="G194" s="58" t="str">
        <f aca="false">VLOOKUP(F194,Countries!$A$2:$B$11,2,0)</f>
        <v>Saudi Arabia</v>
      </c>
      <c r="H194" s="13" t="n">
        <v>27</v>
      </c>
      <c r="I194" s="13" t="n">
        <v>78300</v>
      </c>
      <c r="J194" s="0" t="s">
        <v>12</v>
      </c>
      <c r="K194" s="0" t="s">
        <v>178</v>
      </c>
    </row>
    <row r="195" customFormat="false" ht="12.8" hidden="false" customHeight="false" outlineLevel="0" collapsed="false">
      <c r="A195" s="57" t="n">
        <v>46217</v>
      </c>
      <c r="B195" s="0" t="s">
        <v>280</v>
      </c>
      <c r="C195" s="0" t="s">
        <v>17</v>
      </c>
      <c r="D195" s="0" t="s">
        <v>71</v>
      </c>
      <c r="E195" s="58" t="str">
        <f aca="false">VLOOKUP(D195,Models!$A$2:$B$13,2,0)</f>
        <v>43-inch Full HD TV</v>
      </c>
      <c r="F195" s="0" t="s">
        <v>69</v>
      </c>
      <c r="G195" s="58" t="str">
        <f aca="false">VLOOKUP(F195,Countries!$A$2:$B$11,2,0)</f>
        <v>Egypt</v>
      </c>
      <c r="H195" s="13" t="n">
        <v>6</v>
      </c>
      <c r="I195" s="13" t="n">
        <v>41400</v>
      </c>
      <c r="J195" s="0" t="s">
        <v>12</v>
      </c>
      <c r="K195" s="0" t="s">
        <v>178</v>
      </c>
    </row>
    <row r="196" customFormat="false" ht="12.8" hidden="false" customHeight="false" outlineLevel="0" collapsed="false">
      <c r="A196" s="57" t="n">
        <v>46217</v>
      </c>
      <c r="B196" s="0" t="s">
        <v>281</v>
      </c>
      <c r="C196" s="0" t="s">
        <v>17</v>
      </c>
      <c r="D196" s="0" t="s">
        <v>95</v>
      </c>
      <c r="E196" s="58" t="str">
        <f aca="false">VLOOKUP(D196,Models!$A$2:$B$13,2,0)</f>
        <v>32-inch HD TV</v>
      </c>
      <c r="F196" s="0" t="s">
        <v>103</v>
      </c>
      <c r="G196" s="58" t="str">
        <f aca="false">VLOOKUP(F196,Countries!$A$2:$B$11,2,0)</f>
        <v>Morocco</v>
      </c>
      <c r="H196" s="13" t="n">
        <v>22</v>
      </c>
      <c r="I196" s="13" t="n">
        <v>85800</v>
      </c>
      <c r="J196" s="0" t="s">
        <v>12</v>
      </c>
      <c r="K196" s="0" t="s">
        <v>178</v>
      </c>
    </row>
    <row r="197" customFormat="false" ht="12.8" hidden="false" customHeight="false" outlineLevel="0" collapsed="false">
      <c r="A197" s="57" t="n">
        <v>46217</v>
      </c>
      <c r="B197" s="0" t="s">
        <v>282</v>
      </c>
      <c r="C197" s="0" t="s">
        <v>19</v>
      </c>
      <c r="D197" s="0" t="s">
        <v>92</v>
      </c>
      <c r="E197" s="58" t="str">
        <f aca="false">VLOOKUP(D197,Models!$A$2:$B$13,2,0)</f>
        <v>65-inch 4K TV</v>
      </c>
      <c r="F197" s="0" t="s">
        <v>101</v>
      </c>
      <c r="G197" s="58" t="str">
        <f aca="false">VLOOKUP(F197,Countries!$A$2:$B$11,2,0)</f>
        <v>Kuwait</v>
      </c>
      <c r="H197" s="13" t="n">
        <v>7</v>
      </c>
      <c r="I197" s="13" t="n">
        <v>138600</v>
      </c>
      <c r="J197" s="0" t="s">
        <v>12</v>
      </c>
      <c r="K197" s="0" t="s">
        <v>178</v>
      </c>
    </row>
    <row r="198" customFormat="false" ht="12.8" hidden="false" customHeight="false" outlineLevel="0" collapsed="false">
      <c r="A198" s="57" t="n">
        <v>46217</v>
      </c>
      <c r="B198" s="0" t="s">
        <v>283</v>
      </c>
      <c r="C198" s="0" t="s">
        <v>19</v>
      </c>
      <c r="D198" s="0" t="s">
        <v>68</v>
      </c>
      <c r="E198" s="58" t="str">
        <f aca="false">VLOOKUP(D198,Models!$A$2:$B$13,2,0)</f>
        <v>50-inch 4K TV</v>
      </c>
      <c r="F198" s="0" t="s">
        <v>69</v>
      </c>
      <c r="G198" s="58" t="str">
        <f aca="false">VLOOKUP(F198,Countries!$A$2:$B$11,2,0)</f>
        <v>Egypt</v>
      </c>
      <c r="H198" s="13" t="n">
        <v>19</v>
      </c>
      <c r="I198" s="13" t="n">
        <v>197600</v>
      </c>
      <c r="J198" s="0" t="s">
        <v>12</v>
      </c>
      <c r="K198" s="0" t="s">
        <v>178</v>
      </c>
    </row>
    <row r="199" customFormat="false" ht="12.8" hidden="false" customHeight="false" outlineLevel="0" collapsed="false">
      <c r="A199" s="57" t="n">
        <v>46217</v>
      </c>
      <c r="B199" s="0" t="s">
        <v>284</v>
      </c>
      <c r="C199" s="0" t="s">
        <v>19</v>
      </c>
      <c r="D199" s="0" t="s">
        <v>64</v>
      </c>
      <c r="E199" s="58" t="str">
        <f aca="false">VLOOKUP(D199,Models!$A$2:$B$13,2,0)</f>
        <v>32-inch Smart TV</v>
      </c>
      <c r="F199" s="0" t="s">
        <v>79</v>
      </c>
      <c r="G199" s="58" t="str">
        <f aca="false">VLOOKUP(F199,Countries!$A$2:$B$11,2,0)</f>
        <v>Iraq</v>
      </c>
      <c r="H199" s="13" t="n">
        <v>7</v>
      </c>
      <c r="I199" s="13" t="n">
        <v>32200</v>
      </c>
      <c r="J199" s="0" t="s">
        <v>12</v>
      </c>
      <c r="K199" s="0" t="s">
        <v>178</v>
      </c>
    </row>
    <row r="200" customFormat="false" ht="12.8" hidden="false" customHeight="false" outlineLevel="0" collapsed="false">
      <c r="A200" s="57" t="n">
        <v>46217</v>
      </c>
      <c r="B200" s="0" t="s">
        <v>285</v>
      </c>
      <c r="C200" s="0" t="s">
        <v>19</v>
      </c>
      <c r="D200" s="0" t="s">
        <v>85</v>
      </c>
      <c r="E200" s="58" t="str">
        <f aca="false">VLOOKUP(D200,Models!$A$2:$B$13,2,0)</f>
        <v>75-inch 4K TV</v>
      </c>
      <c r="F200" s="0" t="s">
        <v>69</v>
      </c>
      <c r="G200" s="58" t="str">
        <f aca="false">VLOOKUP(F200,Countries!$A$2:$B$11,2,0)</f>
        <v>Egypt</v>
      </c>
      <c r="H200" s="13" t="n">
        <v>15</v>
      </c>
      <c r="I200" s="13" t="n">
        <v>468000</v>
      </c>
      <c r="J200" s="0" t="s">
        <v>12</v>
      </c>
      <c r="K200" s="0" t="s">
        <v>178</v>
      </c>
    </row>
    <row r="201" customFormat="false" ht="12.8" hidden="false" customHeight="false" outlineLevel="0" collapsed="false">
      <c r="A201" s="57" t="n">
        <v>46217</v>
      </c>
      <c r="B201" s="0" t="s">
        <v>286</v>
      </c>
      <c r="C201" s="0" t="s">
        <v>20</v>
      </c>
      <c r="D201" s="0" t="s">
        <v>64</v>
      </c>
      <c r="E201" s="58" t="str">
        <f aca="false">VLOOKUP(D201,Models!$A$2:$B$13,2,0)</f>
        <v>32-inch Smart TV</v>
      </c>
      <c r="F201" s="0" t="s">
        <v>98</v>
      </c>
      <c r="G201" s="58" t="str">
        <f aca="false">VLOOKUP(F201,Countries!$A$2:$B$11,2,0)</f>
        <v>Libya</v>
      </c>
      <c r="H201" s="13" t="n">
        <v>25</v>
      </c>
      <c r="I201" s="13" t="n">
        <v>115000</v>
      </c>
      <c r="J201" s="0" t="s">
        <v>12</v>
      </c>
      <c r="K201" s="0" t="s">
        <v>178</v>
      </c>
    </row>
    <row r="202" customFormat="false" ht="12.8" hidden="false" customHeight="false" outlineLevel="0" collapsed="false">
      <c r="A202" s="57" t="n">
        <v>46217</v>
      </c>
      <c r="B202" s="0" t="s">
        <v>287</v>
      </c>
      <c r="C202" s="0" t="s">
        <v>20</v>
      </c>
      <c r="D202" s="0" t="s">
        <v>95</v>
      </c>
      <c r="E202" s="58" t="str">
        <f aca="false">VLOOKUP(D202,Models!$A$2:$B$13,2,0)</f>
        <v>32-inch HD TV</v>
      </c>
      <c r="F202" s="0" t="s">
        <v>69</v>
      </c>
      <c r="G202" s="58" t="str">
        <f aca="false">VLOOKUP(F202,Countries!$A$2:$B$11,2,0)</f>
        <v>Egypt</v>
      </c>
      <c r="H202" s="13" t="n">
        <v>24</v>
      </c>
      <c r="I202" s="13" t="n">
        <v>93600</v>
      </c>
      <c r="J202" s="0" t="s">
        <v>12</v>
      </c>
      <c r="K202" s="0" t="s">
        <v>178</v>
      </c>
    </row>
    <row r="203" customFormat="false" ht="12.8" hidden="false" customHeight="false" outlineLevel="0" collapsed="false">
      <c r="A203" s="57" t="n">
        <v>46217</v>
      </c>
      <c r="B203" s="0" t="s">
        <v>288</v>
      </c>
      <c r="C203" s="0" t="s">
        <v>20</v>
      </c>
      <c r="D203" s="0" t="s">
        <v>77</v>
      </c>
      <c r="E203" s="58" t="str">
        <f aca="false">VLOOKUP(D203,Models!$A$2:$B$13,2,0)</f>
        <v>65-inch QLED TV</v>
      </c>
      <c r="F203" s="0" t="s">
        <v>79</v>
      </c>
      <c r="G203" s="58" t="str">
        <f aca="false">VLOOKUP(F203,Countries!$A$2:$B$11,2,0)</f>
        <v>Iraq</v>
      </c>
      <c r="H203" s="13" t="n">
        <v>7</v>
      </c>
      <c r="I203" s="13" t="n">
        <v>171500</v>
      </c>
      <c r="J203" s="0" t="s">
        <v>12</v>
      </c>
      <c r="K203" s="0" t="s">
        <v>178</v>
      </c>
    </row>
    <row r="204" customFormat="false" ht="12.8" hidden="false" customHeight="false" outlineLevel="0" collapsed="false">
      <c r="A204" s="57" t="n">
        <v>46217</v>
      </c>
      <c r="B204" s="0" t="s">
        <v>289</v>
      </c>
      <c r="C204" s="0" t="s">
        <v>21</v>
      </c>
      <c r="D204" s="0" t="s">
        <v>88</v>
      </c>
      <c r="E204" s="58" t="str">
        <f aca="false">VLOOKUP(D204,Models!$A$2:$B$13,2,0)</f>
        <v>24-inch HD TV</v>
      </c>
      <c r="F204" s="0" t="s">
        <v>69</v>
      </c>
      <c r="G204" s="58" t="str">
        <f aca="false">VLOOKUP(F204,Countries!$A$2:$B$11,2,0)</f>
        <v>Egypt</v>
      </c>
      <c r="H204" s="13" t="n">
        <v>60</v>
      </c>
      <c r="I204" s="13" t="n">
        <v>174000</v>
      </c>
      <c r="J204" s="0" t="s">
        <v>12</v>
      </c>
      <c r="K204" s="0" t="s">
        <v>178</v>
      </c>
    </row>
    <row r="205" customFormat="false" ht="12.8" hidden="false" customHeight="false" outlineLevel="0" collapsed="false">
      <c r="A205" s="57" t="n">
        <v>46217</v>
      </c>
      <c r="B205" s="0" t="s">
        <v>290</v>
      </c>
      <c r="C205" s="0" t="s">
        <v>21</v>
      </c>
      <c r="D205" s="0" t="s">
        <v>90</v>
      </c>
      <c r="E205" s="58" t="str">
        <f aca="false">VLOOKUP(D205,Models!$A$2:$B$13,2,0)</f>
        <v>55-inch 4K TV</v>
      </c>
      <c r="F205" s="0" t="s">
        <v>69</v>
      </c>
      <c r="G205" s="58" t="str">
        <f aca="false">VLOOKUP(F205,Countries!$A$2:$B$11,2,0)</f>
        <v>Egypt</v>
      </c>
      <c r="H205" s="13" t="n">
        <v>25</v>
      </c>
      <c r="I205" s="13" t="n">
        <v>307500</v>
      </c>
      <c r="J205" s="0" t="s">
        <v>12</v>
      </c>
      <c r="K205" s="0" t="s">
        <v>178</v>
      </c>
    </row>
    <row r="206" customFormat="false" ht="12.8" hidden="false" customHeight="false" outlineLevel="0" collapsed="false">
      <c r="A206" s="57" t="n">
        <v>46218</v>
      </c>
      <c r="B206" s="0" t="s">
        <v>291</v>
      </c>
      <c r="C206" s="0" t="s">
        <v>13</v>
      </c>
      <c r="D206" s="0" t="s">
        <v>95</v>
      </c>
      <c r="E206" s="58" t="str">
        <f aca="false">VLOOKUP(D206,Models!$A$2:$B$13,2,0)</f>
        <v>32-inch HD TV</v>
      </c>
      <c r="F206" s="0" t="s">
        <v>177</v>
      </c>
      <c r="G206" s="58" t="str">
        <f aca="false">VLOOKUP(F206,Countries!$A$2:$B$11,2,0)</f>
        <v>Saudi Arabia</v>
      </c>
      <c r="H206" s="13" t="n">
        <v>17</v>
      </c>
      <c r="I206" s="13" t="n">
        <v>66300</v>
      </c>
      <c r="J206" s="0" t="s">
        <v>12</v>
      </c>
      <c r="K206" s="0" t="s">
        <v>292</v>
      </c>
    </row>
    <row r="207" customFormat="false" ht="12.8" hidden="false" customHeight="false" outlineLevel="0" collapsed="false">
      <c r="A207" s="57" t="n">
        <v>46218</v>
      </c>
      <c r="B207" s="0" t="s">
        <v>293</v>
      </c>
      <c r="C207" s="0" t="s">
        <v>13</v>
      </c>
      <c r="D207" s="0" t="s">
        <v>68</v>
      </c>
      <c r="E207" s="58" t="str">
        <f aca="false">VLOOKUP(D207,Models!$A$2:$B$13,2,0)</f>
        <v>50-inch 4K TV</v>
      </c>
      <c r="F207" s="0" t="s">
        <v>69</v>
      </c>
      <c r="G207" s="58" t="str">
        <f aca="false">VLOOKUP(F207,Countries!$A$2:$B$11,2,0)</f>
        <v>Egypt</v>
      </c>
      <c r="H207" s="13" t="n">
        <v>22</v>
      </c>
      <c r="I207" s="13" t="n">
        <v>228800</v>
      </c>
      <c r="J207" s="0" t="s">
        <v>12</v>
      </c>
      <c r="K207" s="0" t="s">
        <v>292</v>
      </c>
    </row>
    <row r="208" customFormat="false" ht="12.8" hidden="false" customHeight="false" outlineLevel="0" collapsed="false">
      <c r="A208" s="57" t="n">
        <v>46218</v>
      </c>
      <c r="B208" s="0" t="s">
        <v>294</v>
      </c>
      <c r="C208" s="0" t="s">
        <v>13</v>
      </c>
      <c r="D208" s="0" t="s">
        <v>95</v>
      </c>
      <c r="E208" s="58" t="str">
        <f aca="false">VLOOKUP(D208,Models!$A$2:$B$13,2,0)</f>
        <v>32-inch HD TV</v>
      </c>
      <c r="F208" s="0" t="s">
        <v>69</v>
      </c>
      <c r="G208" s="58" t="str">
        <f aca="false">VLOOKUP(F208,Countries!$A$2:$B$11,2,0)</f>
        <v>Egypt</v>
      </c>
      <c r="H208" s="13" t="n">
        <v>21</v>
      </c>
      <c r="I208" s="13" t="n">
        <v>81900</v>
      </c>
      <c r="J208" s="0" t="s">
        <v>12</v>
      </c>
      <c r="K208" s="0" t="s">
        <v>292</v>
      </c>
    </row>
    <row r="209" customFormat="false" ht="12.8" hidden="false" customHeight="false" outlineLevel="0" collapsed="false">
      <c r="A209" s="57" t="n">
        <v>46218</v>
      </c>
      <c r="B209" s="0" t="s">
        <v>295</v>
      </c>
      <c r="C209" s="0" t="s">
        <v>13</v>
      </c>
      <c r="D209" s="0" t="s">
        <v>68</v>
      </c>
      <c r="E209" s="58" t="str">
        <f aca="false">VLOOKUP(D209,Models!$A$2:$B$13,2,0)</f>
        <v>50-inch 4K TV</v>
      </c>
      <c r="F209" s="0" t="s">
        <v>69</v>
      </c>
      <c r="G209" s="58" t="str">
        <f aca="false">VLOOKUP(F209,Countries!$A$2:$B$11,2,0)</f>
        <v>Egypt</v>
      </c>
      <c r="H209" s="13" t="n">
        <v>15</v>
      </c>
      <c r="I209" s="13" t="n">
        <v>156000</v>
      </c>
      <c r="J209" s="0" t="s">
        <v>12</v>
      </c>
      <c r="K209" s="0" t="s">
        <v>292</v>
      </c>
    </row>
    <row r="210" customFormat="false" ht="12.8" hidden="false" customHeight="false" outlineLevel="0" collapsed="false">
      <c r="A210" s="57" t="n">
        <v>46218</v>
      </c>
      <c r="B210" s="0" t="s">
        <v>296</v>
      </c>
      <c r="C210" s="0" t="s">
        <v>13</v>
      </c>
      <c r="D210" s="0" t="s">
        <v>77</v>
      </c>
      <c r="E210" s="58" t="str">
        <f aca="false">VLOOKUP(D210,Models!$A$2:$B$13,2,0)</f>
        <v>65-inch QLED TV</v>
      </c>
      <c r="F210" s="0" t="s">
        <v>79</v>
      </c>
      <c r="G210" s="58" t="str">
        <f aca="false">VLOOKUP(F210,Countries!$A$2:$B$11,2,0)</f>
        <v>Iraq</v>
      </c>
      <c r="H210" s="13" t="n">
        <v>9</v>
      </c>
      <c r="I210" s="13" t="n">
        <v>220500</v>
      </c>
      <c r="J210" s="0" t="s">
        <v>12</v>
      </c>
      <c r="K210" s="0" t="s">
        <v>292</v>
      </c>
    </row>
    <row r="211" customFormat="false" ht="12.8" hidden="false" customHeight="false" outlineLevel="0" collapsed="false">
      <c r="A211" s="57" t="n">
        <v>46218</v>
      </c>
      <c r="B211" s="0" t="s">
        <v>297</v>
      </c>
      <c r="C211" s="0" t="s">
        <v>15</v>
      </c>
      <c r="D211" s="0" t="s">
        <v>81</v>
      </c>
      <c r="E211" s="58" t="str">
        <f aca="false">VLOOKUP(D211,Models!$A$2:$B$13,2,0)</f>
        <v>43-inch Smart TV</v>
      </c>
      <c r="F211" s="0" t="s">
        <v>177</v>
      </c>
      <c r="G211" s="58" t="str">
        <f aca="false">VLOOKUP(F211,Countries!$A$2:$B$11,2,0)</f>
        <v>Saudi Arabia</v>
      </c>
      <c r="H211" s="13" t="n">
        <v>7</v>
      </c>
      <c r="I211" s="13" t="n">
        <v>54600</v>
      </c>
      <c r="J211" s="0" t="s">
        <v>12</v>
      </c>
      <c r="K211" s="0" t="s">
        <v>292</v>
      </c>
    </row>
    <row r="212" customFormat="false" ht="12.8" hidden="false" customHeight="false" outlineLevel="0" collapsed="false">
      <c r="A212" s="57" t="n">
        <v>46218</v>
      </c>
      <c r="B212" s="0" t="s">
        <v>298</v>
      </c>
      <c r="C212" s="0" t="s">
        <v>15</v>
      </c>
      <c r="D212" s="0" t="s">
        <v>88</v>
      </c>
      <c r="E212" s="58" t="str">
        <f aca="false">VLOOKUP(D212,Models!$A$2:$B$13,2,0)</f>
        <v>24-inch HD TV</v>
      </c>
      <c r="F212" s="0" t="s">
        <v>69</v>
      </c>
      <c r="G212" s="58" t="str">
        <f aca="false">VLOOKUP(F212,Countries!$A$2:$B$11,2,0)</f>
        <v>Egypt</v>
      </c>
      <c r="H212" s="13" t="n">
        <v>39</v>
      </c>
      <c r="I212" s="13" t="n">
        <v>113100</v>
      </c>
      <c r="J212" s="0" t="s">
        <v>12</v>
      </c>
      <c r="K212" s="0" t="s">
        <v>292</v>
      </c>
    </row>
    <row r="213" customFormat="false" ht="12.8" hidden="false" customHeight="false" outlineLevel="0" collapsed="false">
      <c r="A213" s="57" t="n">
        <v>46218</v>
      </c>
      <c r="B213" s="0" t="s">
        <v>299</v>
      </c>
      <c r="C213" s="0" t="s">
        <v>15</v>
      </c>
      <c r="D213" s="0" t="s">
        <v>95</v>
      </c>
      <c r="E213" s="58" t="str">
        <f aca="false">VLOOKUP(D213,Models!$A$2:$B$13,2,0)</f>
        <v>32-inch HD TV</v>
      </c>
      <c r="F213" s="0" t="s">
        <v>69</v>
      </c>
      <c r="G213" s="58" t="str">
        <f aca="false">VLOOKUP(F213,Countries!$A$2:$B$11,2,0)</f>
        <v>Egypt</v>
      </c>
      <c r="H213" s="13" t="n">
        <v>17</v>
      </c>
      <c r="I213" s="13" t="n">
        <v>66300</v>
      </c>
      <c r="J213" s="0" t="s">
        <v>12</v>
      </c>
      <c r="K213" s="0" t="s">
        <v>292</v>
      </c>
    </row>
    <row r="214" customFormat="false" ht="12.8" hidden="false" customHeight="false" outlineLevel="0" collapsed="false">
      <c r="A214" s="57" t="n">
        <v>46218</v>
      </c>
      <c r="B214" s="0" t="s">
        <v>300</v>
      </c>
      <c r="C214" s="0" t="s">
        <v>17</v>
      </c>
      <c r="D214" s="0" t="s">
        <v>68</v>
      </c>
      <c r="E214" s="58" t="str">
        <f aca="false">VLOOKUP(D214,Models!$A$2:$B$13,2,0)</f>
        <v>50-inch 4K TV</v>
      </c>
      <c r="F214" s="0" t="s">
        <v>69</v>
      </c>
      <c r="G214" s="58" t="str">
        <f aca="false">VLOOKUP(F214,Countries!$A$2:$B$11,2,0)</f>
        <v>Egypt</v>
      </c>
      <c r="H214" s="13" t="n">
        <v>24</v>
      </c>
      <c r="I214" s="13" t="n">
        <v>249600</v>
      </c>
      <c r="J214" s="0" t="s">
        <v>12</v>
      </c>
      <c r="K214" s="0" t="s">
        <v>292</v>
      </c>
    </row>
    <row r="215" customFormat="false" ht="12.8" hidden="false" customHeight="false" outlineLevel="0" collapsed="false">
      <c r="A215" s="57" t="n">
        <v>46218</v>
      </c>
      <c r="B215" s="0" t="s">
        <v>301</v>
      </c>
      <c r="C215" s="0" t="s">
        <v>19</v>
      </c>
      <c r="D215" s="0" t="s">
        <v>74</v>
      </c>
      <c r="E215" s="58" t="str">
        <f aca="false">VLOOKUP(D215,Models!$A$2:$B$13,2,0)</f>
        <v>40-inch Full HD TV</v>
      </c>
      <c r="F215" s="0" t="s">
        <v>177</v>
      </c>
      <c r="G215" s="58" t="str">
        <f aca="false">VLOOKUP(F215,Countries!$A$2:$B$11,2,0)</f>
        <v>Saudi Arabia</v>
      </c>
      <c r="H215" s="13" t="n">
        <v>15</v>
      </c>
      <c r="I215" s="13" t="n">
        <v>93000</v>
      </c>
      <c r="J215" s="0" t="s">
        <v>12</v>
      </c>
      <c r="K215" s="0" t="s">
        <v>292</v>
      </c>
    </row>
    <row r="216" customFormat="false" ht="12.8" hidden="false" customHeight="false" outlineLevel="0" collapsed="false">
      <c r="A216" s="57" t="n">
        <v>46218</v>
      </c>
      <c r="B216" s="0" t="s">
        <v>302</v>
      </c>
      <c r="C216" s="0" t="s">
        <v>19</v>
      </c>
      <c r="D216" s="0" t="s">
        <v>90</v>
      </c>
      <c r="E216" s="58" t="str">
        <f aca="false">VLOOKUP(D216,Models!$A$2:$B$13,2,0)</f>
        <v>55-inch 4K TV</v>
      </c>
      <c r="F216" s="0" t="s">
        <v>69</v>
      </c>
      <c r="G216" s="58" t="str">
        <f aca="false">VLOOKUP(F216,Countries!$A$2:$B$11,2,0)</f>
        <v>Egypt</v>
      </c>
      <c r="H216" s="13" t="n">
        <v>19</v>
      </c>
      <c r="I216" s="13" t="n">
        <v>233700</v>
      </c>
      <c r="J216" s="0" t="s">
        <v>12</v>
      </c>
      <c r="K216" s="0" t="s">
        <v>292</v>
      </c>
    </row>
    <row r="217" customFormat="false" ht="12.8" hidden="false" customHeight="false" outlineLevel="0" collapsed="false">
      <c r="A217" s="57" t="n">
        <v>46218</v>
      </c>
      <c r="B217" s="0" t="s">
        <v>303</v>
      </c>
      <c r="C217" s="0" t="s">
        <v>20</v>
      </c>
      <c r="D217" s="0" t="s">
        <v>68</v>
      </c>
      <c r="E217" s="58" t="str">
        <f aca="false">VLOOKUP(D217,Models!$A$2:$B$13,2,0)</f>
        <v>50-inch 4K TV</v>
      </c>
      <c r="F217" s="0" t="s">
        <v>69</v>
      </c>
      <c r="G217" s="58" t="str">
        <f aca="false">VLOOKUP(F217,Countries!$A$2:$B$11,2,0)</f>
        <v>Egypt</v>
      </c>
      <c r="H217" s="13" t="n">
        <v>20</v>
      </c>
      <c r="I217" s="13" t="n">
        <v>208000</v>
      </c>
      <c r="J217" s="0" t="s">
        <v>12</v>
      </c>
      <c r="K217" s="0" t="s">
        <v>292</v>
      </c>
    </row>
    <row r="218" customFormat="false" ht="12.8" hidden="false" customHeight="false" outlineLevel="0" collapsed="false">
      <c r="A218" s="57" t="n">
        <v>46218</v>
      </c>
      <c r="B218" s="0" t="s">
        <v>304</v>
      </c>
      <c r="C218" s="0" t="s">
        <v>20</v>
      </c>
      <c r="D218" s="0" t="s">
        <v>90</v>
      </c>
      <c r="E218" s="58" t="str">
        <f aca="false">VLOOKUP(D218,Models!$A$2:$B$13,2,0)</f>
        <v>55-inch 4K TV</v>
      </c>
      <c r="F218" s="0" t="s">
        <v>69</v>
      </c>
      <c r="G218" s="58" t="str">
        <f aca="false">VLOOKUP(F218,Countries!$A$2:$B$11,2,0)</f>
        <v>Egypt</v>
      </c>
      <c r="H218" s="13" t="n">
        <v>23</v>
      </c>
      <c r="I218" s="13" t="n">
        <v>282900</v>
      </c>
      <c r="J218" s="0" t="s">
        <v>12</v>
      </c>
      <c r="K218" s="0" t="s">
        <v>292</v>
      </c>
    </row>
    <row r="219" customFormat="false" ht="12.8" hidden="false" customHeight="false" outlineLevel="0" collapsed="false">
      <c r="A219" s="57" t="n">
        <v>46218</v>
      </c>
      <c r="B219" s="0" t="s">
        <v>305</v>
      </c>
      <c r="C219" s="0" t="s">
        <v>20</v>
      </c>
      <c r="D219" s="0" t="s">
        <v>85</v>
      </c>
      <c r="E219" s="58" t="str">
        <f aca="false">VLOOKUP(D219,Models!$A$2:$B$13,2,0)</f>
        <v>75-inch 4K TV</v>
      </c>
      <c r="F219" s="0" t="s">
        <v>69</v>
      </c>
      <c r="G219" s="58" t="str">
        <f aca="false">VLOOKUP(F219,Countries!$A$2:$B$11,2,0)</f>
        <v>Egypt</v>
      </c>
      <c r="H219" s="13" t="n">
        <v>11</v>
      </c>
      <c r="I219" s="13" t="n">
        <v>343200</v>
      </c>
      <c r="J219" s="0" t="s">
        <v>12</v>
      </c>
      <c r="K219" s="0" t="s">
        <v>292</v>
      </c>
    </row>
    <row r="220" customFormat="false" ht="12.8" hidden="false" customHeight="false" outlineLevel="0" collapsed="false">
      <c r="A220" s="57" t="n">
        <v>46218</v>
      </c>
      <c r="B220" s="0" t="s">
        <v>306</v>
      </c>
      <c r="C220" s="0" t="s">
        <v>20</v>
      </c>
      <c r="D220" s="0" t="s">
        <v>90</v>
      </c>
      <c r="E220" s="58" t="str">
        <f aca="false">VLOOKUP(D220,Models!$A$2:$B$13,2,0)</f>
        <v>55-inch 4K TV</v>
      </c>
      <c r="F220" s="0" t="s">
        <v>69</v>
      </c>
      <c r="G220" s="58" t="str">
        <f aca="false">VLOOKUP(F220,Countries!$A$2:$B$11,2,0)</f>
        <v>Egypt</v>
      </c>
      <c r="H220" s="13" t="n">
        <v>23</v>
      </c>
      <c r="I220" s="13" t="n">
        <v>282900</v>
      </c>
      <c r="J220" s="0" t="s">
        <v>12</v>
      </c>
      <c r="K220" s="0" t="s">
        <v>292</v>
      </c>
    </row>
    <row r="221" customFormat="false" ht="12.8" hidden="false" customHeight="false" outlineLevel="0" collapsed="false">
      <c r="A221" s="57" t="n">
        <v>46218</v>
      </c>
      <c r="B221" s="0" t="s">
        <v>307</v>
      </c>
      <c r="C221" s="0" t="s">
        <v>21</v>
      </c>
      <c r="D221" s="0" t="s">
        <v>68</v>
      </c>
      <c r="E221" s="58" t="str">
        <f aca="false">VLOOKUP(D221,Models!$A$2:$B$13,2,0)</f>
        <v>50-inch 4K TV</v>
      </c>
      <c r="F221" s="0" t="s">
        <v>69</v>
      </c>
      <c r="G221" s="58" t="str">
        <f aca="false">VLOOKUP(F221,Countries!$A$2:$B$11,2,0)</f>
        <v>Egypt</v>
      </c>
      <c r="H221" s="13" t="n">
        <v>12</v>
      </c>
      <c r="I221" s="13" t="n">
        <v>124800</v>
      </c>
      <c r="J221" s="0" t="s">
        <v>12</v>
      </c>
      <c r="K221" s="0" t="s">
        <v>292</v>
      </c>
    </row>
    <row r="222" customFormat="false" ht="12.8" hidden="false" customHeight="false" outlineLevel="0" collapsed="false">
      <c r="A222" s="57" t="n">
        <v>46219</v>
      </c>
      <c r="B222" s="0" t="s">
        <v>308</v>
      </c>
      <c r="C222" s="0" t="s">
        <v>13</v>
      </c>
      <c r="D222" s="0" t="s">
        <v>64</v>
      </c>
      <c r="E222" s="58" t="str">
        <f aca="false">VLOOKUP(D222,Models!$A$2:$B$13,2,0)</f>
        <v>32-inch Smart TV</v>
      </c>
      <c r="F222" s="0" t="s">
        <v>69</v>
      </c>
      <c r="G222" s="58" t="str">
        <f aca="false">VLOOKUP(F222,Countries!$A$2:$B$11,2,0)</f>
        <v>Egypt</v>
      </c>
      <c r="H222" s="13" t="n">
        <v>57</v>
      </c>
      <c r="I222" s="13" t="n">
        <v>262200</v>
      </c>
      <c r="J222" s="0" t="s">
        <v>12</v>
      </c>
      <c r="K222" s="0" t="s">
        <v>292</v>
      </c>
    </row>
    <row r="223" customFormat="false" ht="12.8" hidden="false" customHeight="false" outlineLevel="0" collapsed="false">
      <c r="A223" s="57" t="n">
        <v>46219</v>
      </c>
      <c r="B223" s="0" t="s">
        <v>309</v>
      </c>
      <c r="C223" s="0" t="s">
        <v>13</v>
      </c>
      <c r="D223" s="0" t="s">
        <v>64</v>
      </c>
      <c r="E223" s="58" t="str">
        <f aca="false">VLOOKUP(D223,Models!$A$2:$B$13,2,0)</f>
        <v>32-inch Smart TV</v>
      </c>
      <c r="F223" s="0" t="s">
        <v>98</v>
      </c>
      <c r="G223" s="58" t="str">
        <f aca="false">VLOOKUP(F223,Countries!$A$2:$B$11,2,0)</f>
        <v>Libya</v>
      </c>
      <c r="H223" s="13" t="n">
        <v>44</v>
      </c>
      <c r="I223" s="13" t="n">
        <v>202400</v>
      </c>
      <c r="J223" s="0" t="s">
        <v>12</v>
      </c>
      <c r="K223" s="0" t="s">
        <v>292</v>
      </c>
    </row>
    <row r="224" customFormat="false" ht="12.8" hidden="false" customHeight="false" outlineLevel="0" collapsed="false">
      <c r="A224" s="57" t="n">
        <v>46219</v>
      </c>
      <c r="B224" s="0" t="s">
        <v>310</v>
      </c>
      <c r="C224" s="0" t="s">
        <v>15</v>
      </c>
      <c r="D224" s="0" t="s">
        <v>74</v>
      </c>
      <c r="E224" s="58" t="str">
        <f aca="false">VLOOKUP(D224,Models!$A$2:$B$13,2,0)</f>
        <v>40-inch Full HD TV</v>
      </c>
      <c r="F224" s="0" t="s">
        <v>101</v>
      </c>
      <c r="G224" s="58" t="str">
        <f aca="false">VLOOKUP(F224,Countries!$A$2:$B$11,2,0)</f>
        <v>Kuwait</v>
      </c>
      <c r="H224" s="13" t="n">
        <v>26</v>
      </c>
      <c r="I224" s="13" t="n">
        <v>161200</v>
      </c>
      <c r="J224" s="0" t="s">
        <v>12</v>
      </c>
      <c r="K224" s="0" t="s">
        <v>292</v>
      </c>
    </row>
    <row r="225" customFormat="false" ht="12.8" hidden="false" customHeight="false" outlineLevel="0" collapsed="false">
      <c r="A225" s="57" t="n">
        <v>46219</v>
      </c>
      <c r="B225" s="0" t="s">
        <v>311</v>
      </c>
      <c r="C225" s="0" t="s">
        <v>15</v>
      </c>
      <c r="D225" s="0" t="s">
        <v>92</v>
      </c>
      <c r="E225" s="58" t="str">
        <f aca="false">VLOOKUP(D225,Models!$A$2:$B$13,2,0)</f>
        <v>65-inch 4K TV</v>
      </c>
      <c r="F225" s="0" t="s">
        <v>79</v>
      </c>
      <c r="G225" s="58" t="str">
        <f aca="false">VLOOKUP(F225,Countries!$A$2:$B$11,2,0)</f>
        <v>Iraq</v>
      </c>
      <c r="H225" s="13" t="n">
        <v>7</v>
      </c>
      <c r="I225" s="13" t="n">
        <v>138600</v>
      </c>
      <c r="J225" s="0" t="s">
        <v>12</v>
      </c>
      <c r="K225" s="0" t="s">
        <v>292</v>
      </c>
    </row>
    <row r="226" customFormat="false" ht="12.8" hidden="false" customHeight="false" outlineLevel="0" collapsed="false">
      <c r="A226" s="57" t="n">
        <v>46219</v>
      </c>
      <c r="B226" s="0" t="s">
        <v>312</v>
      </c>
      <c r="C226" s="0" t="s">
        <v>15</v>
      </c>
      <c r="D226" s="0" t="s">
        <v>109</v>
      </c>
      <c r="E226" s="58" t="str">
        <f aca="false">VLOOKUP(D226,Models!$A$2:$B$13,2,0)</f>
        <v>55-inch QLED TV</v>
      </c>
      <c r="F226" s="0" t="s">
        <v>177</v>
      </c>
      <c r="G226" s="58" t="str">
        <f aca="false">VLOOKUP(F226,Countries!$A$2:$B$11,2,0)</f>
        <v>Saudi Arabia</v>
      </c>
      <c r="H226" s="13" t="n">
        <v>27</v>
      </c>
      <c r="I226" s="13" t="n">
        <v>421200</v>
      </c>
      <c r="J226" s="0" t="s">
        <v>12</v>
      </c>
      <c r="K226" s="0" t="s">
        <v>292</v>
      </c>
    </row>
    <row r="227" customFormat="false" ht="12.8" hidden="false" customHeight="false" outlineLevel="0" collapsed="false">
      <c r="A227" s="57" t="n">
        <v>46219</v>
      </c>
      <c r="B227" s="0" t="s">
        <v>313</v>
      </c>
      <c r="C227" s="0" t="s">
        <v>15</v>
      </c>
      <c r="D227" s="0" t="s">
        <v>77</v>
      </c>
      <c r="E227" s="58" t="str">
        <f aca="false">VLOOKUP(D227,Models!$A$2:$B$13,2,0)</f>
        <v>65-inch QLED TV</v>
      </c>
      <c r="F227" s="0" t="s">
        <v>98</v>
      </c>
      <c r="G227" s="58" t="str">
        <f aca="false">VLOOKUP(F227,Countries!$A$2:$B$11,2,0)</f>
        <v>Libya</v>
      </c>
      <c r="H227" s="13" t="n">
        <v>19</v>
      </c>
      <c r="I227" s="13" t="n">
        <v>465500</v>
      </c>
      <c r="J227" s="0" t="s">
        <v>12</v>
      </c>
      <c r="K227" s="0" t="s">
        <v>292</v>
      </c>
    </row>
    <row r="228" customFormat="false" ht="12.8" hidden="false" customHeight="false" outlineLevel="0" collapsed="false">
      <c r="A228" s="57" t="n">
        <v>46219</v>
      </c>
      <c r="B228" s="0" t="s">
        <v>314</v>
      </c>
      <c r="C228" s="0" t="s">
        <v>17</v>
      </c>
      <c r="D228" s="0" t="s">
        <v>109</v>
      </c>
      <c r="E228" s="58" t="str">
        <f aca="false">VLOOKUP(D228,Models!$A$2:$B$13,2,0)</f>
        <v>55-inch QLED TV</v>
      </c>
      <c r="F228" s="0" t="s">
        <v>65</v>
      </c>
      <c r="G228" s="58" t="str">
        <f aca="false">VLOOKUP(F228,Countries!$A$2:$B$11,2,0)</f>
        <v>Jordan</v>
      </c>
      <c r="H228" s="13" t="n">
        <v>33</v>
      </c>
      <c r="I228" s="13" t="n">
        <v>514800</v>
      </c>
      <c r="J228" s="0" t="s">
        <v>12</v>
      </c>
      <c r="K228" s="0" t="s">
        <v>292</v>
      </c>
    </row>
    <row r="229" customFormat="false" ht="12.8" hidden="false" customHeight="false" outlineLevel="0" collapsed="false">
      <c r="A229" s="57" t="n">
        <v>46219</v>
      </c>
      <c r="B229" s="0" t="s">
        <v>315</v>
      </c>
      <c r="C229" s="0" t="s">
        <v>17</v>
      </c>
      <c r="D229" s="0" t="s">
        <v>90</v>
      </c>
      <c r="E229" s="58" t="str">
        <f aca="false">VLOOKUP(D229,Models!$A$2:$B$13,2,0)</f>
        <v>55-inch 4K TV</v>
      </c>
      <c r="F229" s="0" t="s">
        <v>98</v>
      </c>
      <c r="G229" s="58" t="str">
        <f aca="false">VLOOKUP(F229,Countries!$A$2:$B$11,2,0)</f>
        <v>Libya</v>
      </c>
      <c r="H229" s="13" t="n">
        <v>21</v>
      </c>
      <c r="I229" s="13" t="n">
        <v>258300</v>
      </c>
      <c r="J229" s="0" t="s">
        <v>12</v>
      </c>
      <c r="K229" s="0" t="s">
        <v>292</v>
      </c>
    </row>
    <row r="230" customFormat="false" ht="12.8" hidden="false" customHeight="false" outlineLevel="0" collapsed="false">
      <c r="A230" s="57" t="n">
        <v>46219</v>
      </c>
      <c r="B230" s="0" t="s">
        <v>316</v>
      </c>
      <c r="C230" s="0" t="s">
        <v>17</v>
      </c>
      <c r="D230" s="0" t="s">
        <v>92</v>
      </c>
      <c r="E230" s="58" t="str">
        <f aca="false">VLOOKUP(D230,Models!$A$2:$B$13,2,0)</f>
        <v>65-inch 4K TV</v>
      </c>
      <c r="F230" s="0" t="s">
        <v>79</v>
      </c>
      <c r="G230" s="58" t="str">
        <f aca="false">VLOOKUP(F230,Countries!$A$2:$B$11,2,0)</f>
        <v>Iraq</v>
      </c>
      <c r="H230" s="13" t="n">
        <v>11</v>
      </c>
      <c r="I230" s="13" t="n">
        <v>217800</v>
      </c>
      <c r="J230" s="0" t="s">
        <v>12</v>
      </c>
      <c r="K230" s="0" t="s">
        <v>292</v>
      </c>
    </row>
    <row r="231" customFormat="false" ht="12.8" hidden="false" customHeight="false" outlineLevel="0" collapsed="false">
      <c r="A231" s="57" t="n">
        <v>46219</v>
      </c>
      <c r="B231" s="0" t="s">
        <v>317</v>
      </c>
      <c r="C231" s="0" t="s">
        <v>17</v>
      </c>
      <c r="D231" s="0" t="s">
        <v>81</v>
      </c>
      <c r="E231" s="58" t="str">
        <f aca="false">VLOOKUP(D231,Models!$A$2:$B$13,2,0)</f>
        <v>43-inch Smart TV</v>
      </c>
      <c r="F231" s="0" t="s">
        <v>101</v>
      </c>
      <c r="G231" s="58" t="str">
        <f aca="false">VLOOKUP(F231,Countries!$A$2:$B$11,2,0)</f>
        <v>Kuwait</v>
      </c>
      <c r="H231" s="13" t="n">
        <v>28</v>
      </c>
      <c r="I231" s="13" t="n">
        <v>218400</v>
      </c>
      <c r="J231" s="0" t="s">
        <v>12</v>
      </c>
      <c r="K231" s="0" t="s">
        <v>292</v>
      </c>
    </row>
    <row r="232" customFormat="false" ht="12.8" hidden="false" customHeight="false" outlineLevel="0" collapsed="false">
      <c r="A232" s="57" t="n">
        <v>46219</v>
      </c>
      <c r="B232" s="0" t="s">
        <v>318</v>
      </c>
      <c r="C232" s="0" t="s">
        <v>19</v>
      </c>
      <c r="D232" s="0" t="s">
        <v>64</v>
      </c>
      <c r="E232" s="58" t="str">
        <f aca="false">VLOOKUP(D232,Models!$A$2:$B$13,2,0)</f>
        <v>32-inch Smart TV</v>
      </c>
      <c r="F232" s="0" t="s">
        <v>69</v>
      </c>
      <c r="G232" s="58" t="str">
        <f aca="false">VLOOKUP(F232,Countries!$A$2:$B$11,2,0)</f>
        <v>Egypt</v>
      </c>
      <c r="H232" s="13" t="n">
        <v>48</v>
      </c>
      <c r="I232" s="13" t="n">
        <v>220800</v>
      </c>
      <c r="J232" s="0" t="s">
        <v>12</v>
      </c>
      <c r="K232" s="0" t="s">
        <v>292</v>
      </c>
    </row>
    <row r="233" customFormat="false" ht="12.8" hidden="false" customHeight="false" outlineLevel="0" collapsed="false">
      <c r="A233" s="57" t="n">
        <v>46219</v>
      </c>
      <c r="B233" s="0" t="s">
        <v>319</v>
      </c>
      <c r="C233" s="0" t="s">
        <v>19</v>
      </c>
      <c r="D233" s="0" t="s">
        <v>71</v>
      </c>
      <c r="E233" s="58" t="str">
        <f aca="false">VLOOKUP(D233,Models!$A$2:$B$13,2,0)</f>
        <v>43-inch Full HD TV</v>
      </c>
      <c r="F233" s="0" t="s">
        <v>65</v>
      </c>
      <c r="G233" s="58" t="str">
        <f aca="false">VLOOKUP(F233,Countries!$A$2:$B$11,2,0)</f>
        <v>Jordan</v>
      </c>
      <c r="H233" s="13" t="n">
        <v>18</v>
      </c>
      <c r="I233" s="13" t="n">
        <v>124200</v>
      </c>
      <c r="J233" s="0" t="s">
        <v>12</v>
      </c>
      <c r="K233" s="0" t="s">
        <v>292</v>
      </c>
    </row>
    <row r="234" customFormat="false" ht="12.8" hidden="false" customHeight="false" outlineLevel="0" collapsed="false">
      <c r="A234" s="57" t="n">
        <v>46219</v>
      </c>
      <c r="B234" s="0" t="s">
        <v>320</v>
      </c>
      <c r="C234" s="0" t="s">
        <v>20</v>
      </c>
      <c r="D234" s="0" t="s">
        <v>71</v>
      </c>
      <c r="E234" s="58" t="str">
        <f aca="false">VLOOKUP(D234,Models!$A$2:$B$13,2,0)</f>
        <v>43-inch Full HD TV</v>
      </c>
      <c r="F234" s="0" t="s">
        <v>69</v>
      </c>
      <c r="G234" s="58" t="str">
        <f aca="false">VLOOKUP(F234,Countries!$A$2:$B$11,2,0)</f>
        <v>Egypt</v>
      </c>
      <c r="H234" s="13" t="n">
        <v>8</v>
      </c>
      <c r="I234" s="13" t="n">
        <v>55200</v>
      </c>
      <c r="J234" s="0" t="s">
        <v>12</v>
      </c>
      <c r="K234" s="0" t="s">
        <v>292</v>
      </c>
    </row>
    <row r="235" customFormat="false" ht="12.8" hidden="false" customHeight="false" outlineLevel="0" collapsed="false">
      <c r="A235" s="57" t="n">
        <v>46219</v>
      </c>
      <c r="B235" s="0" t="s">
        <v>321</v>
      </c>
      <c r="C235" s="0" t="s">
        <v>20</v>
      </c>
      <c r="D235" s="0" t="s">
        <v>90</v>
      </c>
      <c r="E235" s="58" t="str">
        <f aca="false">VLOOKUP(D235,Models!$A$2:$B$13,2,0)</f>
        <v>55-inch 4K TV</v>
      </c>
      <c r="F235" s="0" t="s">
        <v>69</v>
      </c>
      <c r="G235" s="58" t="str">
        <f aca="false">VLOOKUP(F235,Countries!$A$2:$B$11,2,0)</f>
        <v>Egypt</v>
      </c>
      <c r="H235" s="13" t="n">
        <v>16</v>
      </c>
      <c r="I235" s="13" t="n">
        <v>196800</v>
      </c>
      <c r="J235" s="0" t="s">
        <v>12</v>
      </c>
      <c r="K235" s="0" t="s">
        <v>292</v>
      </c>
    </row>
    <row r="236" customFormat="false" ht="12.8" hidden="false" customHeight="false" outlineLevel="0" collapsed="false">
      <c r="A236" s="57" t="n">
        <v>46219</v>
      </c>
      <c r="B236" s="0" t="s">
        <v>322</v>
      </c>
      <c r="C236" s="0" t="s">
        <v>20</v>
      </c>
      <c r="D236" s="0" t="s">
        <v>90</v>
      </c>
      <c r="E236" s="58" t="str">
        <f aca="false">VLOOKUP(D236,Models!$A$2:$B$13,2,0)</f>
        <v>55-inch 4K TV</v>
      </c>
      <c r="F236" s="0" t="s">
        <v>69</v>
      </c>
      <c r="G236" s="58" t="str">
        <f aca="false">VLOOKUP(F236,Countries!$A$2:$B$11,2,0)</f>
        <v>Egypt</v>
      </c>
      <c r="H236" s="13" t="n">
        <v>10</v>
      </c>
      <c r="I236" s="13" t="n">
        <v>123000</v>
      </c>
      <c r="J236" s="0" t="s">
        <v>12</v>
      </c>
      <c r="K236" s="0" t="s">
        <v>292</v>
      </c>
    </row>
    <row r="237" customFormat="false" ht="12.8" hidden="false" customHeight="false" outlineLevel="0" collapsed="false">
      <c r="A237" s="57" t="n">
        <v>46219</v>
      </c>
      <c r="B237" s="0" t="s">
        <v>323</v>
      </c>
      <c r="C237" s="0" t="s">
        <v>21</v>
      </c>
      <c r="D237" s="0" t="s">
        <v>68</v>
      </c>
      <c r="E237" s="58" t="str">
        <f aca="false">VLOOKUP(D237,Models!$A$2:$B$13,2,0)</f>
        <v>50-inch 4K TV</v>
      </c>
      <c r="F237" s="0" t="s">
        <v>69</v>
      </c>
      <c r="G237" s="58" t="str">
        <f aca="false">VLOOKUP(F237,Countries!$A$2:$B$11,2,0)</f>
        <v>Egypt</v>
      </c>
      <c r="H237" s="13" t="n">
        <v>24</v>
      </c>
      <c r="I237" s="13" t="n">
        <v>249600</v>
      </c>
      <c r="J237" s="0" t="s">
        <v>12</v>
      </c>
      <c r="K237" s="0" t="s">
        <v>292</v>
      </c>
    </row>
    <row r="238" customFormat="false" ht="12.8" hidden="false" customHeight="false" outlineLevel="0" collapsed="false">
      <c r="A238" s="57" t="n">
        <v>46219</v>
      </c>
      <c r="B238" s="0" t="s">
        <v>324</v>
      </c>
      <c r="C238" s="0" t="s">
        <v>21</v>
      </c>
      <c r="D238" s="0" t="s">
        <v>77</v>
      </c>
      <c r="E238" s="58" t="str">
        <f aca="false">VLOOKUP(D238,Models!$A$2:$B$13,2,0)</f>
        <v>65-inch QLED TV</v>
      </c>
      <c r="F238" s="0" t="s">
        <v>69</v>
      </c>
      <c r="G238" s="58" t="str">
        <f aca="false">VLOOKUP(F238,Countries!$A$2:$B$11,2,0)</f>
        <v>Egypt</v>
      </c>
      <c r="H238" s="13" t="n">
        <v>5</v>
      </c>
      <c r="I238" s="13" t="n">
        <v>122500</v>
      </c>
      <c r="J238" s="0" t="s">
        <v>12</v>
      </c>
      <c r="K238" s="0" t="s">
        <v>292</v>
      </c>
    </row>
    <row r="239" customFormat="false" ht="12.8" hidden="false" customHeight="false" outlineLevel="0" collapsed="false">
      <c r="A239" s="57" t="n">
        <v>46219</v>
      </c>
      <c r="B239" s="0" t="s">
        <v>325</v>
      </c>
      <c r="C239" s="0" t="s">
        <v>21</v>
      </c>
      <c r="D239" s="0" t="s">
        <v>109</v>
      </c>
      <c r="E239" s="58" t="str">
        <f aca="false">VLOOKUP(D239,Models!$A$2:$B$13,2,0)</f>
        <v>55-inch QLED TV</v>
      </c>
      <c r="F239" s="0" t="s">
        <v>69</v>
      </c>
      <c r="G239" s="58" t="str">
        <f aca="false">VLOOKUP(F239,Countries!$A$2:$B$11,2,0)</f>
        <v>Egypt</v>
      </c>
      <c r="H239" s="13" t="n">
        <v>12</v>
      </c>
      <c r="I239" s="13" t="n">
        <v>187200</v>
      </c>
      <c r="J239" s="0" t="s">
        <v>12</v>
      </c>
      <c r="K239" s="0" t="s">
        <v>292</v>
      </c>
    </row>
    <row r="240" customFormat="false" ht="12.8" hidden="false" customHeight="false" outlineLevel="0" collapsed="false">
      <c r="A240" s="57" t="n">
        <v>46221</v>
      </c>
      <c r="B240" s="0" t="s">
        <v>326</v>
      </c>
      <c r="C240" s="0" t="s">
        <v>13</v>
      </c>
      <c r="D240" s="0" t="s">
        <v>88</v>
      </c>
      <c r="E240" s="58" t="str">
        <f aca="false">VLOOKUP(D240,Models!$A$2:$B$13,2,0)</f>
        <v>24-inch HD TV</v>
      </c>
      <c r="F240" s="0" t="s">
        <v>98</v>
      </c>
      <c r="G240" s="58" t="str">
        <f aca="false">VLOOKUP(F240,Countries!$A$2:$B$11,2,0)</f>
        <v>Libya</v>
      </c>
      <c r="H240" s="13" t="n">
        <v>20</v>
      </c>
      <c r="I240" s="13" t="n">
        <v>58000</v>
      </c>
      <c r="J240" s="0" t="s">
        <v>12</v>
      </c>
      <c r="K240" s="0" t="s">
        <v>292</v>
      </c>
    </row>
    <row r="241" customFormat="false" ht="12.8" hidden="false" customHeight="false" outlineLevel="0" collapsed="false">
      <c r="A241" s="57" t="n">
        <v>46221</v>
      </c>
      <c r="B241" s="0" t="s">
        <v>327</v>
      </c>
      <c r="C241" s="0" t="s">
        <v>13</v>
      </c>
      <c r="D241" s="0" t="s">
        <v>68</v>
      </c>
      <c r="E241" s="58" t="str">
        <f aca="false">VLOOKUP(D241,Models!$A$2:$B$13,2,0)</f>
        <v>50-inch 4K TV</v>
      </c>
      <c r="F241" s="0" t="s">
        <v>69</v>
      </c>
      <c r="G241" s="58" t="str">
        <f aca="false">VLOOKUP(F241,Countries!$A$2:$B$11,2,0)</f>
        <v>Egypt</v>
      </c>
      <c r="H241" s="13" t="n">
        <v>12</v>
      </c>
      <c r="I241" s="13" t="n">
        <v>124800</v>
      </c>
      <c r="J241" s="0" t="s">
        <v>12</v>
      </c>
      <c r="K241" s="0" t="s">
        <v>292</v>
      </c>
    </row>
    <row r="242" customFormat="false" ht="12.8" hidden="false" customHeight="false" outlineLevel="0" collapsed="false">
      <c r="A242" s="57" t="n">
        <v>46221</v>
      </c>
      <c r="B242" s="0" t="s">
        <v>328</v>
      </c>
      <c r="C242" s="0" t="s">
        <v>15</v>
      </c>
      <c r="D242" s="0" t="s">
        <v>68</v>
      </c>
      <c r="E242" s="58" t="str">
        <f aca="false">VLOOKUP(D242,Models!$A$2:$B$13,2,0)</f>
        <v>50-inch 4K TV</v>
      </c>
      <c r="F242" s="0" t="s">
        <v>83</v>
      </c>
      <c r="G242" s="58" t="str">
        <f aca="false">VLOOKUP(F242,Countries!$A$2:$B$11,2,0)</f>
        <v>United Arab Emirates</v>
      </c>
      <c r="H242" s="13" t="n">
        <v>33</v>
      </c>
      <c r="I242" s="13" t="n">
        <v>343200</v>
      </c>
      <c r="J242" s="0" t="s">
        <v>12</v>
      </c>
      <c r="K242" s="0" t="s">
        <v>292</v>
      </c>
    </row>
    <row r="243" customFormat="false" ht="12.8" hidden="false" customHeight="false" outlineLevel="0" collapsed="false">
      <c r="A243" s="57" t="n">
        <v>46221</v>
      </c>
      <c r="B243" s="0" t="s">
        <v>329</v>
      </c>
      <c r="C243" s="0" t="s">
        <v>15</v>
      </c>
      <c r="D243" s="0" t="s">
        <v>77</v>
      </c>
      <c r="E243" s="58" t="str">
        <f aca="false">VLOOKUP(D243,Models!$A$2:$B$13,2,0)</f>
        <v>65-inch QLED TV</v>
      </c>
      <c r="F243" s="0" t="s">
        <v>75</v>
      </c>
      <c r="G243" s="58" t="str">
        <f aca="false">VLOOKUP(F243,Countries!$A$2:$B$11,2,0)</f>
        <v>Nigeria</v>
      </c>
      <c r="H243" s="13" t="n">
        <v>19</v>
      </c>
      <c r="I243" s="13" t="n">
        <v>465500</v>
      </c>
      <c r="J243" s="0" t="s">
        <v>12</v>
      </c>
      <c r="K243" s="0" t="s">
        <v>292</v>
      </c>
    </row>
    <row r="244" customFormat="false" ht="12.8" hidden="false" customHeight="false" outlineLevel="0" collapsed="false">
      <c r="A244" s="57" t="n">
        <v>46221</v>
      </c>
      <c r="B244" s="0" t="s">
        <v>330</v>
      </c>
      <c r="C244" s="0" t="s">
        <v>15</v>
      </c>
      <c r="D244" s="0" t="s">
        <v>74</v>
      </c>
      <c r="E244" s="58" t="str">
        <f aca="false">VLOOKUP(D244,Models!$A$2:$B$13,2,0)</f>
        <v>40-inch Full HD TV</v>
      </c>
      <c r="F244" s="0" t="s">
        <v>75</v>
      </c>
      <c r="G244" s="58" t="str">
        <f aca="false">VLOOKUP(F244,Countries!$A$2:$B$11,2,0)</f>
        <v>Nigeria</v>
      </c>
      <c r="H244" s="13" t="n">
        <v>41</v>
      </c>
      <c r="I244" s="13" t="n">
        <v>254200</v>
      </c>
      <c r="J244" s="0" t="s">
        <v>12</v>
      </c>
      <c r="K244" s="0" t="s">
        <v>292</v>
      </c>
    </row>
    <row r="245" customFormat="false" ht="12.8" hidden="false" customHeight="false" outlineLevel="0" collapsed="false">
      <c r="A245" s="57" t="n">
        <v>46221</v>
      </c>
      <c r="B245" s="0" t="s">
        <v>331</v>
      </c>
      <c r="C245" s="0" t="s">
        <v>15</v>
      </c>
      <c r="D245" s="0" t="s">
        <v>81</v>
      </c>
      <c r="E245" s="58" t="str">
        <f aca="false">VLOOKUP(D245,Models!$A$2:$B$13,2,0)</f>
        <v>43-inch Smart TV</v>
      </c>
      <c r="F245" s="0" t="s">
        <v>69</v>
      </c>
      <c r="G245" s="58" t="str">
        <f aca="false">VLOOKUP(F245,Countries!$A$2:$B$11,2,0)</f>
        <v>Egypt</v>
      </c>
      <c r="H245" s="13" t="n">
        <v>45</v>
      </c>
      <c r="I245" s="13" t="n">
        <v>351000</v>
      </c>
      <c r="J245" s="0" t="s">
        <v>12</v>
      </c>
      <c r="K245" s="0" t="s">
        <v>292</v>
      </c>
    </row>
    <row r="246" customFormat="false" ht="12.8" hidden="false" customHeight="false" outlineLevel="0" collapsed="false">
      <c r="A246" s="57" t="n">
        <v>46221</v>
      </c>
      <c r="B246" s="0" t="s">
        <v>332</v>
      </c>
      <c r="C246" s="0" t="s">
        <v>15</v>
      </c>
      <c r="D246" s="0" t="s">
        <v>90</v>
      </c>
      <c r="E246" s="58" t="str">
        <f aca="false">VLOOKUP(D246,Models!$A$2:$B$13,2,0)</f>
        <v>55-inch 4K TV</v>
      </c>
      <c r="F246" s="0" t="s">
        <v>69</v>
      </c>
      <c r="G246" s="58" t="str">
        <f aca="false">VLOOKUP(F246,Countries!$A$2:$B$11,2,0)</f>
        <v>Egypt</v>
      </c>
      <c r="H246" s="13" t="n">
        <v>33</v>
      </c>
      <c r="I246" s="13" t="n">
        <v>405900</v>
      </c>
      <c r="J246" s="0" t="s">
        <v>12</v>
      </c>
      <c r="K246" s="0" t="s">
        <v>292</v>
      </c>
    </row>
    <row r="247" customFormat="false" ht="12.8" hidden="false" customHeight="false" outlineLevel="0" collapsed="false">
      <c r="A247" s="57" t="n">
        <v>46221</v>
      </c>
      <c r="B247" s="0" t="s">
        <v>333</v>
      </c>
      <c r="C247" s="0" t="s">
        <v>17</v>
      </c>
      <c r="D247" s="0" t="s">
        <v>71</v>
      </c>
      <c r="E247" s="58" t="str">
        <f aca="false">VLOOKUP(D247,Models!$A$2:$B$13,2,0)</f>
        <v>43-inch Full HD TV</v>
      </c>
      <c r="F247" s="0" t="s">
        <v>69</v>
      </c>
      <c r="G247" s="58" t="str">
        <f aca="false">VLOOKUP(F247,Countries!$A$2:$B$11,2,0)</f>
        <v>Egypt</v>
      </c>
      <c r="H247" s="13" t="n">
        <v>9</v>
      </c>
      <c r="I247" s="13" t="n">
        <v>62100</v>
      </c>
      <c r="J247" s="0" t="s">
        <v>12</v>
      </c>
      <c r="K247" s="0" t="s">
        <v>292</v>
      </c>
    </row>
    <row r="248" customFormat="false" ht="12.8" hidden="false" customHeight="false" outlineLevel="0" collapsed="false">
      <c r="A248" s="57" t="n">
        <v>46221</v>
      </c>
      <c r="B248" s="0" t="s">
        <v>334</v>
      </c>
      <c r="C248" s="0" t="s">
        <v>19</v>
      </c>
      <c r="D248" s="0" t="s">
        <v>74</v>
      </c>
      <c r="E248" s="58" t="str">
        <f aca="false">VLOOKUP(D248,Models!$A$2:$B$13,2,0)</f>
        <v>40-inch Full HD TV</v>
      </c>
      <c r="F248" s="0" t="s">
        <v>177</v>
      </c>
      <c r="G248" s="58" t="str">
        <f aca="false">VLOOKUP(F248,Countries!$A$2:$B$11,2,0)</f>
        <v>Saudi Arabia</v>
      </c>
      <c r="H248" s="13" t="n">
        <v>14</v>
      </c>
      <c r="I248" s="13" t="n">
        <v>86800</v>
      </c>
      <c r="J248" s="0" t="s">
        <v>12</v>
      </c>
      <c r="K248" s="0" t="s">
        <v>292</v>
      </c>
    </row>
    <row r="249" customFormat="false" ht="12.8" hidden="false" customHeight="false" outlineLevel="0" collapsed="false">
      <c r="A249" s="57" t="n">
        <v>46221</v>
      </c>
      <c r="B249" s="0" t="s">
        <v>335</v>
      </c>
      <c r="C249" s="0" t="s">
        <v>19</v>
      </c>
      <c r="D249" s="0" t="s">
        <v>88</v>
      </c>
      <c r="E249" s="58" t="str">
        <f aca="false">VLOOKUP(D249,Models!$A$2:$B$13,2,0)</f>
        <v>24-inch HD TV</v>
      </c>
      <c r="F249" s="0" t="s">
        <v>103</v>
      </c>
      <c r="G249" s="58" t="str">
        <f aca="false">VLOOKUP(F249,Countries!$A$2:$B$11,2,0)</f>
        <v>Morocco</v>
      </c>
      <c r="H249" s="13" t="n">
        <v>56</v>
      </c>
      <c r="I249" s="13" t="n">
        <v>162400</v>
      </c>
      <c r="J249" s="0" t="s">
        <v>12</v>
      </c>
      <c r="K249" s="0" t="s">
        <v>292</v>
      </c>
    </row>
    <row r="250" customFormat="false" ht="12.8" hidden="false" customHeight="false" outlineLevel="0" collapsed="false">
      <c r="A250" s="57" t="n">
        <v>46221</v>
      </c>
      <c r="B250" s="0" t="s">
        <v>336</v>
      </c>
      <c r="C250" s="0" t="s">
        <v>19</v>
      </c>
      <c r="D250" s="0" t="s">
        <v>90</v>
      </c>
      <c r="E250" s="58" t="str">
        <f aca="false">VLOOKUP(D250,Models!$A$2:$B$13,2,0)</f>
        <v>55-inch 4K TV</v>
      </c>
      <c r="F250" s="0" t="s">
        <v>69</v>
      </c>
      <c r="G250" s="58" t="str">
        <f aca="false">VLOOKUP(F250,Countries!$A$2:$B$11,2,0)</f>
        <v>Egypt</v>
      </c>
      <c r="H250" s="13" t="n">
        <v>12</v>
      </c>
      <c r="I250" s="13" t="n">
        <v>147600</v>
      </c>
      <c r="J250" s="0" t="s">
        <v>12</v>
      </c>
      <c r="K250" s="0" t="s">
        <v>292</v>
      </c>
    </row>
    <row r="251" customFormat="false" ht="12.8" hidden="false" customHeight="false" outlineLevel="0" collapsed="false">
      <c r="A251" s="57" t="n">
        <v>46221</v>
      </c>
      <c r="B251" s="0" t="s">
        <v>337</v>
      </c>
      <c r="C251" s="0" t="s">
        <v>19</v>
      </c>
      <c r="D251" s="0" t="s">
        <v>92</v>
      </c>
      <c r="E251" s="58" t="str">
        <f aca="false">VLOOKUP(D251,Models!$A$2:$B$13,2,0)</f>
        <v>65-inch 4K TV</v>
      </c>
      <c r="F251" s="0" t="s">
        <v>65</v>
      </c>
      <c r="G251" s="58" t="str">
        <f aca="false">VLOOKUP(F251,Countries!$A$2:$B$11,2,0)</f>
        <v>Jordan</v>
      </c>
      <c r="H251" s="13" t="n">
        <v>5</v>
      </c>
      <c r="I251" s="13" t="n">
        <v>99000</v>
      </c>
      <c r="J251" s="0" t="s">
        <v>12</v>
      </c>
      <c r="K251" s="0" t="s">
        <v>292</v>
      </c>
    </row>
    <row r="252" customFormat="false" ht="12.8" hidden="false" customHeight="false" outlineLevel="0" collapsed="false">
      <c r="A252" s="57" t="n">
        <v>46221</v>
      </c>
      <c r="B252" s="0" t="s">
        <v>338</v>
      </c>
      <c r="C252" s="0" t="s">
        <v>20</v>
      </c>
      <c r="D252" s="0" t="s">
        <v>81</v>
      </c>
      <c r="E252" s="58" t="str">
        <f aca="false">VLOOKUP(D252,Models!$A$2:$B$13,2,0)</f>
        <v>43-inch Smart TV</v>
      </c>
      <c r="F252" s="0" t="s">
        <v>65</v>
      </c>
      <c r="G252" s="58" t="str">
        <f aca="false">VLOOKUP(F252,Countries!$A$2:$B$11,2,0)</f>
        <v>Jordan</v>
      </c>
      <c r="H252" s="13" t="n">
        <v>41</v>
      </c>
      <c r="I252" s="13" t="n">
        <v>319800</v>
      </c>
      <c r="J252" s="0" t="s">
        <v>12</v>
      </c>
      <c r="K252" s="0" t="s">
        <v>292</v>
      </c>
    </row>
    <row r="253" customFormat="false" ht="12.8" hidden="false" customHeight="false" outlineLevel="0" collapsed="false">
      <c r="A253" s="57" t="n">
        <v>46221</v>
      </c>
      <c r="B253" s="0" t="s">
        <v>339</v>
      </c>
      <c r="C253" s="0" t="s">
        <v>20</v>
      </c>
      <c r="D253" s="0" t="s">
        <v>109</v>
      </c>
      <c r="E253" s="58" t="str">
        <f aca="false">VLOOKUP(D253,Models!$A$2:$B$13,2,0)</f>
        <v>55-inch QLED TV</v>
      </c>
      <c r="F253" s="0" t="s">
        <v>75</v>
      </c>
      <c r="G253" s="58" t="str">
        <f aca="false">VLOOKUP(F253,Countries!$A$2:$B$11,2,0)</f>
        <v>Nigeria</v>
      </c>
      <c r="H253" s="13" t="n">
        <v>24</v>
      </c>
      <c r="I253" s="13" t="n">
        <v>374400</v>
      </c>
      <c r="J253" s="0" t="s">
        <v>12</v>
      </c>
      <c r="K253" s="0" t="s">
        <v>292</v>
      </c>
    </row>
    <row r="254" customFormat="false" ht="12.8" hidden="false" customHeight="false" outlineLevel="0" collapsed="false">
      <c r="A254" s="57" t="n">
        <v>46221</v>
      </c>
      <c r="B254" s="0" t="s">
        <v>340</v>
      </c>
      <c r="C254" s="0" t="s">
        <v>20</v>
      </c>
      <c r="D254" s="0" t="s">
        <v>68</v>
      </c>
      <c r="E254" s="58" t="str">
        <f aca="false">VLOOKUP(D254,Models!$A$2:$B$13,2,0)</f>
        <v>50-inch 4K TV</v>
      </c>
      <c r="F254" s="0" t="s">
        <v>69</v>
      </c>
      <c r="G254" s="58" t="str">
        <f aca="false">VLOOKUP(F254,Countries!$A$2:$B$11,2,0)</f>
        <v>Egypt</v>
      </c>
      <c r="H254" s="13" t="n">
        <v>10</v>
      </c>
      <c r="I254" s="13" t="n">
        <v>104000</v>
      </c>
      <c r="J254" s="0" t="s">
        <v>12</v>
      </c>
      <c r="K254" s="0" t="s">
        <v>292</v>
      </c>
    </row>
    <row r="255" customFormat="false" ht="12.8" hidden="false" customHeight="false" outlineLevel="0" collapsed="false">
      <c r="A255" s="57" t="n">
        <v>46221</v>
      </c>
      <c r="B255" s="0" t="s">
        <v>341</v>
      </c>
      <c r="C255" s="0" t="s">
        <v>21</v>
      </c>
      <c r="D255" s="0" t="s">
        <v>68</v>
      </c>
      <c r="E255" s="58" t="str">
        <f aca="false">VLOOKUP(D255,Models!$A$2:$B$13,2,0)</f>
        <v>50-inch 4K TV</v>
      </c>
      <c r="F255" s="0" t="s">
        <v>69</v>
      </c>
      <c r="G255" s="58" t="str">
        <f aca="false">VLOOKUP(F255,Countries!$A$2:$B$11,2,0)</f>
        <v>Egypt</v>
      </c>
      <c r="H255" s="13" t="n">
        <v>16</v>
      </c>
      <c r="I255" s="13" t="n">
        <v>166400</v>
      </c>
      <c r="J255" s="0" t="s">
        <v>12</v>
      </c>
      <c r="K255" s="0" t="s">
        <v>292</v>
      </c>
    </row>
    <row r="256" customFormat="false" ht="12.8" hidden="false" customHeight="false" outlineLevel="0" collapsed="false">
      <c r="A256" s="57" t="n">
        <v>46221</v>
      </c>
      <c r="B256" s="0" t="s">
        <v>342</v>
      </c>
      <c r="C256" s="0" t="s">
        <v>21</v>
      </c>
      <c r="D256" s="0" t="s">
        <v>85</v>
      </c>
      <c r="E256" s="58" t="str">
        <f aca="false">VLOOKUP(D256,Models!$A$2:$B$13,2,0)</f>
        <v>75-inch 4K TV</v>
      </c>
      <c r="F256" s="0" t="s">
        <v>69</v>
      </c>
      <c r="G256" s="58" t="str">
        <f aca="false">VLOOKUP(F256,Countries!$A$2:$B$11,2,0)</f>
        <v>Egypt</v>
      </c>
      <c r="H256" s="13" t="n">
        <v>7</v>
      </c>
      <c r="I256" s="13" t="n">
        <v>218400</v>
      </c>
      <c r="J256" s="0" t="s">
        <v>12</v>
      </c>
      <c r="K256" s="0" t="s">
        <v>292</v>
      </c>
    </row>
    <row r="257" customFormat="false" ht="12.8" hidden="false" customHeight="false" outlineLevel="0" collapsed="false">
      <c r="A257" s="57" t="n">
        <v>46222</v>
      </c>
      <c r="B257" s="0" t="s">
        <v>343</v>
      </c>
      <c r="C257" s="0" t="s">
        <v>13</v>
      </c>
      <c r="D257" s="0" t="s">
        <v>95</v>
      </c>
      <c r="E257" s="58" t="str">
        <f aca="false">VLOOKUP(D257,Models!$A$2:$B$13,2,0)</f>
        <v>32-inch HD TV</v>
      </c>
      <c r="F257" s="0" t="s">
        <v>69</v>
      </c>
      <c r="G257" s="58" t="str">
        <f aca="false">VLOOKUP(F257,Countries!$A$2:$B$11,2,0)</f>
        <v>Egypt</v>
      </c>
      <c r="H257" s="13" t="n">
        <v>50</v>
      </c>
      <c r="I257" s="13" t="n">
        <v>195000</v>
      </c>
      <c r="J257" s="0" t="s">
        <v>12</v>
      </c>
      <c r="K257" s="0" t="s">
        <v>292</v>
      </c>
    </row>
    <row r="258" customFormat="false" ht="12.8" hidden="false" customHeight="false" outlineLevel="0" collapsed="false">
      <c r="A258" s="57" t="n">
        <v>46222</v>
      </c>
      <c r="B258" s="0" t="s">
        <v>344</v>
      </c>
      <c r="C258" s="0" t="s">
        <v>13</v>
      </c>
      <c r="D258" s="0" t="s">
        <v>71</v>
      </c>
      <c r="E258" s="58" t="str">
        <f aca="false">VLOOKUP(D258,Models!$A$2:$B$13,2,0)</f>
        <v>43-inch Full HD TV</v>
      </c>
      <c r="F258" s="0" t="s">
        <v>69</v>
      </c>
      <c r="G258" s="58" t="str">
        <f aca="false">VLOOKUP(F258,Countries!$A$2:$B$11,2,0)</f>
        <v>Egypt</v>
      </c>
      <c r="H258" s="13" t="n">
        <v>39</v>
      </c>
      <c r="I258" s="13" t="n">
        <v>269100</v>
      </c>
      <c r="J258" s="0" t="s">
        <v>12</v>
      </c>
      <c r="K258" s="0" t="s">
        <v>292</v>
      </c>
    </row>
    <row r="259" customFormat="false" ht="12.8" hidden="false" customHeight="false" outlineLevel="0" collapsed="false">
      <c r="A259" s="57" t="n">
        <v>46222</v>
      </c>
      <c r="B259" s="0" t="s">
        <v>345</v>
      </c>
      <c r="C259" s="0" t="s">
        <v>15</v>
      </c>
      <c r="D259" s="0" t="s">
        <v>109</v>
      </c>
      <c r="E259" s="58" t="str">
        <f aca="false">VLOOKUP(D259,Models!$A$2:$B$13,2,0)</f>
        <v>55-inch QLED TV</v>
      </c>
      <c r="F259" s="0" t="s">
        <v>177</v>
      </c>
      <c r="G259" s="58" t="str">
        <f aca="false">VLOOKUP(F259,Countries!$A$2:$B$11,2,0)</f>
        <v>Saudi Arabia</v>
      </c>
      <c r="H259" s="13" t="n">
        <v>8</v>
      </c>
      <c r="I259" s="13" t="n">
        <v>124800</v>
      </c>
      <c r="J259" s="0" t="s">
        <v>12</v>
      </c>
      <c r="K259" s="0" t="s">
        <v>292</v>
      </c>
    </row>
    <row r="260" customFormat="false" ht="12.8" hidden="false" customHeight="false" outlineLevel="0" collapsed="false">
      <c r="A260" s="57" t="n">
        <v>46222</v>
      </c>
      <c r="B260" s="0" t="s">
        <v>346</v>
      </c>
      <c r="C260" s="0" t="s">
        <v>15</v>
      </c>
      <c r="D260" s="0" t="s">
        <v>109</v>
      </c>
      <c r="E260" s="58" t="str">
        <f aca="false">VLOOKUP(D260,Models!$A$2:$B$13,2,0)</f>
        <v>55-inch QLED TV</v>
      </c>
      <c r="F260" s="0" t="s">
        <v>69</v>
      </c>
      <c r="G260" s="58" t="str">
        <f aca="false">VLOOKUP(F260,Countries!$A$2:$B$11,2,0)</f>
        <v>Egypt</v>
      </c>
      <c r="H260" s="13" t="n">
        <v>24</v>
      </c>
      <c r="I260" s="13" t="n">
        <v>374400</v>
      </c>
      <c r="J260" s="0" t="s">
        <v>12</v>
      </c>
      <c r="K260" s="0" t="s">
        <v>292</v>
      </c>
    </row>
    <row r="261" customFormat="false" ht="12.8" hidden="false" customHeight="false" outlineLevel="0" collapsed="false">
      <c r="A261" s="57" t="n">
        <v>46222</v>
      </c>
      <c r="B261" s="0" t="s">
        <v>347</v>
      </c>
      <c r="C261" s="0" t="s">
        <v>15</v>
      </c>
      <c r="D261" s="0" t="s">
        <v>77</v>
      </c>
      <c r="E261" s="58" t="str">
        <f aca="false">VLOOKUP(D261,Models!$A$2:$B$13,2,0)</f>
        <v>65-inch QLED TV</v>
      </c>
      <c r="F261" s="0" t="s">
        <v>69</v>
      </c>
      <c r="G261" s="58" t="str">
        <f aca="false">VLOOKUP(F261,Countries!$A$2:$B$11,2,0)</f>
        <v>Egypt</v>
      </c>
      <c r="H261" s="13" t="n">
        <v>13</v>
      </c>
      <c r="I261" s="13" t="n">
        <v>318500</v>
      </c>
      <c r="J261" s="0" t="s">
        <v>12</v>
      </c>
      <c r="K261" s="0" t="s">
        <v>292</v>
      </c>
    </row>
    <row r="262" customFormat="false" ht="12.8" hidden="false" customHeight="false" outlineLevel="0" collapsed="false">
      <c r="A262" s="57" t="n">
        <v>46222</v>
      </c>
      <c r="B262" s="0" t="s">
        <v>348</v>
      </c>
      <c r="C262" s="0" t="s">
        <v>15</v>
      </c>
      <c r="D262" s="0" t="s">
        <v>90</v>
      </c>
      <c r="E262" s="58" t="str">
        <f aca="false">VLOOKUP(D262,Models!$A$2:$B$13,2,0)</f>
        <v>55-inch 4K TV</v>
      </c>
      <c r="F262" s="0" t="s">
        <v>83</v>
      </c>
      <c r="G262" s="58" t="str">
        <f aca="false">VLOOKUP(F262,Countries!$A$2:$B$11,2,0)</f>
        <v>United Arab Emirates</v>
      </c>
      <c r="H262" s="13" t="n">
        <v>20</v>
      </c>
      <c r="I262" s="13" t="n">
        <v>246000</v>
      </c>
      <c r="J262" s="0" t="s">
        <v>12</v>
      </c>
      <c r="K262" s="0" t="s">
        <v>292</v>
      </c>
    </row>
    <row r="263" customFormat="false" ht="12.8" hidden="false" customHeight="false" outlineLevel="0" collapsed="false">
      <c r="A263" s="57" t="n">
        <v>46222</v>
      </c>
      <c r="B263" s="0" t="s">
        <v>349</v>
      </c>
      <c r="C263" s="0" t="s">
        <v>17</v>
      </c>
      <c r="D263" s="0" t="s">
        <v>74</v>
      </c>
      <c r="E263" s="58" t="str">
        <f aca="false">VLOOKUP(D263,Models!$A$2:$B$13,2,0)</f>
        <v>40-inch Full HD TV</v>
      </c>
      <c r="F263" s="0" t="s">
        <v>177</v>
      </c>
      <c r="G263" s="58" t="str">
        <f aca="false">VLOOKUP(F263,Countries!$A$2:$B$11,2,0)</f>
        <v>Saudi Arabia</v>
      </c>
      <c r="H263" s="13" t="n">
        <v>23</v>
      </c>
      <c r="I263" s="13" t="n">
        <v>142600</v>
      </c>
      <c r="J263" s="0" t="s">
        <v>12</v>
      </c>
      <c r="K263" s="0" t="s">
        <v>292</v>
      </c>
    </row>
    <row r="264" customFormat="false" ht="12.8" hidden="false" customHeight="false" outlineLevel="0" collapsed="false">
      <c r="A264" s="57" t="n">
        <v>46222</v>
      </c>
      <c r="B264" s="0" t="s">
        <v>350</v>
      </c>
      <c r="C264" s="0" t="s">
        <v>17</v>
      </c>
      <c r="D264" s="0" t="s">
        <v>95</v>
      </c>
      <c r="E264" s="58" t="str">
        <f aca="false">VLOOKUP(D264,Models!$A$2:$B$13,2,0)</f>
        <v>32-inch HD TV</v>
      </c>
      <c r="F264" s="0" t="s">
        <v>69</v>
      </c>
      <c r="G264" s="58" t="str">
        <f aca="false">VLOOKUP(F264,Countries!$A$2:$B$11,2,0)</f>
        <v>Egypt</v>
      </c>
      <c r="H264" s="13" t="n">
        <v>61</v>
      </c>
      <c r="I264" s="13" t="n">
        <v>237900</v>
      </c>
      <c r="J264" s="0" t="s">
        <v>12</v>
      </c>
      <c r="K264" s="0" t="s">
        <v>292</v>
      </c>
    </row>
    <row r="265" customFormat="false" ht="12.8" hidden="false" customHeight="false" outlineLevel="0" collapsed="false">
      <c r="A265" s="57" t="n">
        <v>46222</v>
      </c>
      <c r="B265" s="0" t="s">
        <v>351</v>
      </c>
      <c r="C265" s="0" t="s">
        <v>17</v>
      </c>
      <c r="D265" s="0" t="s">
        <v>88</v>
      </c>
      <c r="E265" s="58" t="str">
        <f aca="false">VLOOKUP(D265,Models!$A$2:$B$13,2,0)</f>
        <v>24-inch HD TV</v>
      </c>
      <c r="F265" s="0" t="s">
        <v>101</v>
      </c>
      <c r="G265" s="58" t="str">
        <f aca="false">VLOOKUP(F265,Countries!$A$2:$B$11,2,0)</f>
        <v>Kuwait</v>
      </c>
      <c r="H265" s="13" t="n">
        <v>20</v>
      </c>
      <c r="I265" s="13" t="n">
        <v>58000</v>
      </c>
      <c r="J265" s="0" t="s">
        <v>12</v>
      </c>
      <c r="K265" s="0" t="s">
        <v>292</v>
      </c>
    </row>
    <row r="266" customFormat="false" ht="12.8" hidden="false" customHeight="false" outlineLevel="0" collapsed="false">
      <c r="A266" s="57" t="n">
        <v>46222</v>
      </c>
      <c r="B266" s="0" t="s">
        <v>352</v>
      </c>
      <c r="C266" s="0" t="s">
        <v>19</v>
      </c>
      <c r="D266" s="0" t="s">
        <v>81</v>
      </c>
      <c r="E266" s="58" t="str">
        <f aca="false">VLOOKUP(D266,Models!$A$2:$B$13,2,0)</f>
        <v>43-inch Smart TV</v>
      </c>
      <c r="F266" s="0" t="s">
        <v>75</v>
      </c>
      <c r="G266" s="58" t="str">
        <f aca="false">VLOOKUP(F266,Countries!$A$2:$B$11,2,0)</f>
        <v>Nigeria</v>
      </c>
      <c r="H266" s="13" t="n">
        <v>5</v>
      </c>
      <c r="I266" s="13" t="n">
        <v>39000</v>
      </c>
      <c r="J266" s="0" t="s">
        <v>12</v>
      </c>
      <c r="K266" s="0" t="s">
        <v>292</v>
      </c>
    </row>
    <row r="267" customFormat="false" ht="12.8" hidden="false" customHeight="false" outlineLevel="0" collapsed="false">
      <c r="A267" s="57" t="n">
        <v>46222</v>
      </c>
      <c r="B267" s="0" t="s">
        <v>353</v>
      </c>
      <c r="C267" s="0" t="s">
        <v>19</v>
      </c>
      <c r="D267" s="0" t="s">
        <v>88</v>
      </c>
      <c r="E267" s="58" t="str">
        <f aca="false">VLOOKUP(D267,Models!$A$2:$B$13,2,0)</f>
        <v>24-inch HD TV</v>
      </c>
      <c r="F267" s="0" t="s">
        <v>72</v>
      </c>
      <c r="G267" s="58" t="str">
        <f aca="false">VLOOKUP(F267,Countries!$A$2:$B$11,2,0)</f>
        <v>Kenya</v>
      </c>
      <c r="H267" s="13" t="n">
        <v>41</v>
      </c>
      <c r="I267" s="13" t="n">
        <v>118900</v>
      </c>
      <c r="J267" s="0" t="s">
        <v>12</v>
      </c>
      <c r="K267" s="0" t="s">
        <v>292</v>
      </c>
    </row>
    <row r="268" customFormat="false" ht="12.8" hidden="false" customHeight="false" outlineLevel="0" collapsed="false">
      <c r="A268" s="57" t="n">
        <v>46222</v>
      </c>
      <c r="B268" s="0" t="s">
        <v>354</v>
      </c>
      <c r="C268" s="0" t="s">
        <v>19</v>
      </c>
      <c r="D268" s="0" t="s">
        <v>90</v>
      </c>
      <c r="E268" s="58" t="str">
        <f aca="false">VLOOKUP(D268,Models!$A$2:$B$13,2,0)</f>
        <v>55-inch 4K TV</v>
      </c>
      <c r="F268" s="0" t="s">
        <v>177</v>
      </c>
      <c r="G268" s="58" t="str">
        <f aca="false">VLOOKUP(F268,Countries!$A$2:$B$11,2,0)</f>
        <v>Saudi Arabia</v>
      </c>
      <c r="H268" s="13" t="n">
        <v>22</v>
      </c>
      <c r="I268" s="13" t="n">
        <v>270600</v>
      </c>
      <c r="J268" s="0" t="s">
        <v>12</v>
      </c>
      <c r="K268" s="0" t="s">
        <v>292</v>
      </c>
    </row>
    <row r="269" customFormat="false" ht="12.8" hidden="false" customHeight="false" outlineLevel="0" collapsed="false">
      <c r="A269" s="57" t="n">
        <v>46222</v>
      </c>
      <c r="B269" s="0" t="s">
        <v>355</v>
      </c>
      <c r="C269" s="0" t="s">
        <v>19</v>
      </c>
      <c r="D269" s="0" t="s">
        <v>109</v>
      </c>
      <c r="E269" s="58" t="str">
        <f aca="false">VLOOKUP(D269,Models!$A$2:$B$13,2,0)</f>
        <v>55-inch QLED TV</v>
      </c>
      <c r="F269" s="0" t="s">
        <v>69</v>
      </c>
      <c r="G269" s="58" t="str">
        <f aca="false">VLOOKUP(F269,Countries!$A$2:$B$11,2,0)</f>
        <v>Egypt</v>
      </c>
      <c r="H269" s="13" t="n">
        <v>17</v>
      </c>
      <c r="I269" s="13" t="n">
        <v>265200</v>
      </c>
      <c r="J269" s="0" t="s">
        <v>12</v>
      </c>
      <c r="K269" s="0" t="s">
        <v>292</v>
      </c>
    </row>
    <row r="270" customFormat="false" ht="12.8" hidden="false" customHeight="false" outlineLevel="0" collapsed="false">
      <c r="A270" s="57" t="n">
        <v>46222</v>
      </c>
      <c r="B270" s="0" t="s">
        <v>356</v>
      </c>
      <c r="C270" s="0" t="s">
        <v>20</v>
      </c>
      <c r="D270" s="0" t="s">
        <v>71</v>
      </c>
      <c r="E270" s="58" t="str">
        <f aca="false">VLOOKUP(D270,Models!$A$2:$B$13,2,0)</f>
        <v>43-inch Full HD TV</v>
      </c>
      <c r="F270" s="0" t="s">
        <v>69</v>
      </c>
      <c r="G270" s="58" t="str">
        <f aca="false">VLOOKUP(F270,Countries!$A$2:$B$11,2,0)</f>
        <v>Egypt</v>
      </c>
      <c r="H270" s="13" t="n">
        <v>21</v>
      </c>
      <c r="I270" s="13" t="n">
        <v>144900</v>
      </c>
      <c r="J270" s="0" t="s">
        <v>12</v>
      </c>
      <c r="K270" s="0" t="s">
        <v>292</v>
      </c>
    </row>
    <row r="271" customFormat="false" ht="12.8" hidden="false" customHeight="false" outlineLevel="0" collapsed="false">
      <c r="A271" s="57" t="n">
        <v>46222</v>
      </c>
      <c r="B271" s="0" t="s">
        <v>357</v>
      </c>
      <c r="C271" s="0" t="s">
        <v>20</v>
      </c>
      <c r="D271" s="0" t="s">
        <v>109</v>
      </c>
      <c r="E271" s="58" t="str">
        <f aca="false">VLOOKUP(D271,Models!$A$2:$B$13,2,0)</f>
        <v>55-inch QLED TV</v>
      </c>
      <c r="F271" s="0" t="s">
        <v>83</v>
      </c>
      <c r="G271" s="58" t="str">
        <f aca="false">VLOOKUP(F271,Countries!$A$2:$B$11,2,0)</f>
        <v>United Arab Emirates</v>
      </c>
      <c r="H271" s="13" t="n">
        <v>10</v>
      </c>
      <c r="I271" s="13" t="n">
        <v>156000</v>
      </c>
      <c r="J271" s="0" t="s">
        <v>12</v>
      </c>
      <c r="K271" s="0" t="s">
        <v>292</v>
      </c>
    </row>
    <row r="272" customFormat="false" ht="12.8" hidden="false" customHeight="false" outlineLevel="0" collapsed="false">
      <c r="A272" s="57" t="n">
        <v>46222</v>
      </c>
      <c r="B272" s="0" t="s">
        <v>358</v>
      </c>
      <c r="C272" s="0" t="s">
        <v>20</v>
      </c>
      <c r="D272" s="0" t="s">
        <v>92</v>
      </c>
      <c r="E272" s="58" t="str">
        <f aca="false">VLOOKUP(D272,Models!$A$2:$B$13,2,0)</f>
        <v>65-inch 4K TV</v>
      </c>
      <c r="F272" s="0" t="s">
        <v>79</v>
      </c>
      <c r="G272" s="58" t="str">
        <f aca="false">VLOOKUP(F272,Countries!$A$2:$B$11,2,0)</f>
        <v>Iraq</v>
      </c>
      <c r="H272" s="13" t="n">
        <v>13</v>
      </c>
      <c r="I272" s="13" t="n">
        <v>257400</v>
      </c>
      <c r="J272" s="0" t="s">
        <v>12</v>
      </c>
      <c r="K272" s="0" t="s">
        <v>292</v>
      </c>
    </row>
    <row r="273" customFormat="false" ht="12.8" hidden="false" customHeight="false" outlineLevel="0" collapsed="false">
      <c r="A273" s="57" t="n">
        <v>46222</v>
      </c>
      <c r="B273" s="0" t="s">
        <v>359</v>
      </c>
      <c r="C273" s="0" t="s">
        <v>20</v>
      </c>
      <c r="D273" s="0" t="s">
        <v>92</v>
      </c>
      <c r="E273" s="58" t="str">
        <f aca="false">VLOOKUP(D273,Models!$A$2:$B$13,2,0)</f>
        <v>65-inch 4K TV</v>
      </c>
      <c r="F273" s="0" t="s">
        <v>98</v>
      </c>
      <c r="G273" s="58" t="str">
        <f aca="false">VLOOKUP(F273,Countries!$A$2:$B$11,2,0)</f>
        <v>Libya</v>
      </c>
      <c r="H273" s="13" t="n">
        <v>10</v>
      </c>
      <c r="I273" s="13" t="n">
        <v>198000</v>
      </c>
      <c r="J273" s="0" t="s">
        <v>12</v>
      </c>
      <c r="K273" s="0" t="s">
        <v>292</v>
      </c>
    </row>
    <row r="274" customFormat="false" ht="12.8" hidden="false" customHeight="false" outlineLevel="0" collapsed="false">
      <c r="A274" s="57" t="n">
        <v>46222</v>
      </c>
      <c r="B274" s="0" t="s">
        <v>360</v>
      </c>
      <c r="C274" s="0" t="s">
        <v>21</v>
      </c>
      <c r="D274" s="0" t="s">
        <v>109</v>
      </c>
      <c r="E274" s="58" t="str">
        <f aca="false">VLOOKUP(D274,Models!$A$2:$B$13,2,0)</f>
        <v>55-inch QLED TV</v>
      </c>
      <c r="F274" s="0" t="s">
        <v>69</v>
      </c>
      <c r="G274" s="58" t="str">
        <f aca="false">VLOOKUP(F274,Countries!$A$2:$B$11,2,0)</f>
        <v>Egypt</v>
      </c>
      <c r="H274" s="13" t="n">
        <v>11</v>
      </c>
      <c r="I274" s="13" t="n">
        <v>171600</v>
      </c>
      <c r="J274" s="0" t="s">
        <v>12</v>
      </c>
      <c r="K274" s="0" t="s">
        <v>292</v>
      </c>
    </row>
    <row r="275" customFormat="false" ht="12.8" hidden="false" customHeight="false" outlineLevel="0" collapsed="false">
      <c r="A275" s="57" t="n">
        <v>46222</v>
      </c>
      <c r="B275" s="0" t="s">
        <v>361</v>
      </c>
      <c r="C275" s="0" t="s">
        <v>21</v>
      </c>
      <c r="D275" s="0" t="s">
        <v>71</v>
      </c>
      <c r="E275" s="58" t="str">
        <f aca="false">VLOOKUP(D275,Models!$A$2:$B$13,2,0)</f>
        <v>43-inch Full HD TV</v>
      </c>
      <c r="F275" s="0" t="s">
        <v>69</v>
      </c>
      <c r="G275" s="58" t="str">
        <f aca="false">VLOOKUP(F275,Countries!$A$2:$B$11,2,0)</f>
        <v>Egypt</v>
      </c>
      <c r="H275" s="13" t="n">
        <v>7</v>
      </c>
      <c r="I275" s="13" t="n">
        <v>48300</v>
      </c>
      <c r="J275" s="0" t="s">
        <v>12</v>
      </c>
      <c r="K275" s="0" t="s">
        <v>292</v>
      </c>
    </row>
    <row r="276" customFormat="false" ht="12.8" hidden="false" customHeight="false" outlineLevel="0" collapsed="false">
      <c r="A276" s="57" t="n">
        <v>46222</v>
      </c>
      <c r="B276" s="0" t="s">
        <v>362</v>
      </c>
      <c r="C276" s="0" t="s">
        <v>21</v>
      </c>
      <c r="D276" s="0" t="s">
        <v>109</v>
      </c>
      <c r="E276" s="58" t="str">
        <f aca="false">VLOOKUP(D276,Models!$A$2:$B$13,2,0)</f>
        <v>55-inch QLED TV</v>
      </c>
      <c r="F276" s="0" t="s">
        <v>69</v>
      </c>
      <c r="G276" s="58" t="str">
        <f aca="false">VLOOKUP(F276,Countries!$A$2:$B$11,2,0)</f>
        <v>Egypt</v>
      </c>
      <c r="H276" s="13" t="n">
        <v>26</v>
      </c>
      <c r="I276" s="13" t="n">
        <v>405600</v>
      </c>
      <c r="J276" s="0" t="s">
        <v>12</v>
      </c>
      <c r="K276" s="0" t="s">
        <v>292</v>
      </c>
    </row>
    <row r="277" customFormat="false" ht="12.8" hidden="false" customHeight="false" outlineLevel="0" collapsed="false">
      <c r="A277" s="57" t="n">
        <v>46223</v>
      </c>
      <c r="B277" s="0" t="s">
        <v>363</v>
      </c>
      <c r="C277" s="0" t="s">
        <v>13</v>
      </c>
      <c r="D277" s="0" t="s">
        <v>64</v>
      </c>
      <c r="E277" s="58" t="str">
        <f aca="false">VLOOKUP(D277,Models!$A$2:$B$13,2,0)</f>
        <v>32-inch Smart TV</v>
      </c>
      <c r="F277" s="0" t="s">
        <v>98</v>
      </c>
      <c r="G277" s="58" t="str">
        <f aca="false">VLOOKUP(F277,Countries!$A$2:$B$11,2,0)</f>
        <v>Libya</v>
      </c>
      <c r="H277" s="13" t="n">
        <v>6</v>
      </c>
      <c r="I277" s="13" t="n">
        <v>27600</v>
      </c>
      <c r="J277" s="0" t="s">
        <v>12</v>
      </c>
      <c r="K277" s="0" t="s">
        <v>292</v>
      </c>
    </row>
    <row r="278" customFormat="false" ht="12.8" hidden="false" customHeight="false" outlineLevel="0" collapsed="false">
      <c r="A278" s="57" t="n">
        <v>46223</v>
      </c>
      <c r="B278" s="0" t="s">
        <v>364</v>
      </c>
      <c r="C278" s="0" t="s">
        <v>15</v>
      </c>
      <c r="D278" s="0" t="s">
        <v>64</v>
      </c>
      <c r="E278" s="58" t="str">
        <f aca="false">VLOOKUP(D278,Models!$A$2:$B$13,2,0)</f>
        <v>32-inch Smart TV</v>
      </c>
      <c r="F278" s="0" t="s">
        <v>69</v>
      </c>
      <c r="G278" s="58" t="str">
        <f aca="false">VLOOKUP(F278,Countries!$A$2:$B$11,2,0)</f>
        <v>Egypt</v>
      </c>
      <c r="H278" s="13" t="n">
        <v>7</v>
      </c>
      <c r="I278" s="13" t="n">
        <v>32200</v>
      </c>
      <c r="J278" s="0" t="s">
        <v>12</v>
      </c>
      <c r="K278" s="0" t="s">
        <v>292</v>
      </c>
    </row>
    <row r="279" customFormat="false" ht="12.8" hidden="false" customHeight="false" outlineLevel="0" collapsed="false">
      <c r="A279" s="57" t="n">
        <v>46223</v>
      </c>
      <c r="B279" s="0" t="s">
        <v>365</v>
      </c>
      <c r="C279" s="0" t="s">
        <v>17</v>
      </c>
      <c r="D279" s="0" t="s">
        <v>81</v>
      </c>
      <c r="E279" s="58" t="str">
        <f aca="false">VLOOKUP(D279,Models!$A$2:$B$13,2,0)</f>
        <v>43-inch Smart TV</v>
      </c>
      <c r="F279" s="0" t="s">
        <v>72</v>
      </c>
      <c r="G279" s="58" t="str">
        <f aca="false">VLOOKUP(F279,Countries!$A$2:$B$11,2,0)</f>
        <v>Kenya</v>
      </c>
      <c r="H279" s="13" t="n">
        <v>40</v>
      </c>
      <c r="I279" s="13" t="n">
        <v>312000</v>
      </c>
      <c r="J279" s="0" t="s">
        <v>12</v>
      </c>
      <c r="K279" s="0" t="s">
        <v>292</v>
      </c>
    </row>
    <row r="280" customFormat="false" ht="12.8" hidden="false" customHeight="false" outlineLevel="0" collapsed="false">
      <c r="A280" s="57" t="n">
        <v>46223</v>
      </c>
      <c r="B280" s="0" t="s">
        <v>366</v>
      </c>
      <c r="C280" s="0" t="s">
        <v>17</v>
      </c>
      <c r="D280" s="0" t="s">
        <v>85</v>
      </c>
      <c r="E280" s="58" t="str">
        <f aca="false">VLOOKUP(D280,Models!$A$2:$B$13,2,0)</f>
        <v>75-inch 4K TV</v>
      </c>
      <c r="F280" s="0" t="s">
        <v>75</v>
      </c>
      <c r="G280" s="58" t="str">
        <f aca="false">VLOOKUP(F280,Countries!$A$2:$B$11,2,0)</f>
        <v>Nigeria</v>
      </c>
      <c r="H280" s="13" t="n">
        <v>16</v>
      </c>
      <c r="I280" s="13" t="n">
        <v>499200</v>
      </c>
      <c r="J280" s="0" t="s">
        <v>12</v>
      </c>
      <c r="K280" s="0" t="s">
        <v>292</v>
      </c>
    </row>
    <row r="281" customFormat="false" ht="12.8" hidden="false" customHeight="false" outlineLevel="0" collapsed="false">
      <c r="A281" s="57" t="n">
        <v>46223</v>
      </c>
      <c r="B281" s="0" t="s">
        <v>367</v>
      </c>
      <c r="C281" s="0" t="s">
        <v>19</v>
      </c>
      <c r="D281" s="0" t="s">
        <v>88</v>
      </c>
      <c r="E281" s="58" t="str">
        <f aca="false">VLOOKUP(D281,Models!$A$2:$B$13,2,0)</f>
        <v>24-inch HD TV</v>
      </c>
      <c r="F281" s="0" t="s">
        <v>69</v>
      </c>
      <c r="G281" s="58" t="str">
        <f aca="false">VLOOKUP(F281,Countries!$A$2:$B$11,2,0)</f>
        <v>Egypt</v>
      </c>
      <c r="H281" s="13" t="n">
        <v>36</v>
      </c>
      <c r="I281" s="13" t="n">
        <v>104400</v>
      </c>
      <c r="J281" s="0" t="s">
        <v>12</v>
      </c>
      <c r="K281" s="0" t="s">
        <v>292</v>
      </c>
    </row>
    <row r="282" customFormat="false" ht="12.8" hidden="false" customHeight="false" outlineLevel="0" collapsed="false">
      <c r="A282" s="57" t="n">
        <v>46223</v>
      </c>
      <c r="B282" s="0" t="s">
        <v>368</v>
      </c>
      <c r="C282" s="0" t="s">
        <v>19</v>
      </c>
      <c r="D282" s="0" t="s">
        <v>109</v>
      </c>
      <c r="E282" s="58" t="str">
        <f aca="false">VLOOKUP(D282,Models!$A$2:$B$13,2,0)</f>
        <v>55-inch QLED TV</v>
      </c>
      <c r="F282" s="0" t="s">
        <v>83</v>
      </c>
      <c r="G282" s="58" t="str">
        <f aca="false">VLOOKUP(F282,Countries!$A$2:$B$11,2,0)</f>
        <v>United Arab Emirates</v>
      </c>
      <c r="H282" s="13" t="n">
        <v>30</v>
      </c>
      <c r="I282" s="13" t="n">
        <v>468000</v>
      </c>
      <c r="J282" s="0" t="s">
        <v>12</v>
      </c>
      <c r="K282" s="0" t="s">
        <v>292</v>
      </c>
    </row>
    <row r="283" customFormat="false" ht="12.8" hidden="false" customHeight="false" outlineLevel="0" collapsed="false">
      <c r="A283" s="57" t="n">
        <v>46223</v>
      </c>
      <c r="B283" s="0" t="s">
        <v>369</v>
      </c>
      <c r="C283" s="0" t="s">
        <v>20</v>
      </c>
      <c r="D283" s="0" t="s">
        <v>71</v>
      </c>
      <c r="E283" s="58" t="str">
        <f aca="false">VLOOKUP(D283,Models!$A$2:$B$13,2,0)</f>
        <v>43-inch Full HD TV</v>
      </c>
      <c r="F283" s="0" t="s">
        <v>101</v>
      </c>
      <c r="G283" s="58" t="str">
        <f aca="false">VLOOKUP(F283,Countries!$A$2:$B$11,2,0)</f>
        <v>Kuwait</v>
      </c>
      <c r="H283" s="13" t="n">
        <v>31</v>
      </c>
      <c r="I283" s="13" t="n">
        <v>213900</v>
      </c>
      <c r="J283" s="0" t="s">
        <v>12</v>
      </c>
      <c r="K283" s="0" t="s">
        <v>292</v>
      </c>
    </row>
    <row r="284" customFormat="false" ht="12.8" hidden="false" customHeight="false" outlineLevel="0" collapsed="false">
      <c r="A284" s="57" t="n">
        <v>46223</v>
      </c>
      <c r="B284" s="0" t="s">
        <v>370</v>
      </c>
      <c r="C284" s="0" t="s">
        <v>20</v>
      </c>
      <c r="D284" s="0" t="s">
        <v>85</v>
      </c>
      <c r="E284" s="58" t="str">
        <f aca="false">VLOOKUP(D284,Models!$A$2:$B$13,2,0)</f>
        <v>75-inch 4K TV</v>
      </c>
      <c r="F284" s="0" t="s">
        <v>177</v>
      </c>
      <c r="G284" s="58" t="str">
        <f aca="false">VLOOKUP(F284,Countries!$A$2:$B$11,2,0)</f>
        <v>Saudi Arabia</v>
      </c>
      <c r="H284" s="13" t="n">
        <v>16</v>
      </c>
      <c r="I284" s="13" t="n">
        <v>499200</v>
      </c>
      <c r="J284" s="0" t="s">
        <v>12</v>
      </c>
      <c r="K284" s="0" t="s">
        <v>292</v>
      </c>
    </row>
    <row r="285" customFormat="false" ht="12.8" hidden="false" customHeight="false" outlineLevel="0" collapsed="false">
      <c r="A285" s="57" t="n">
        <v>46223</v>
      </c>
      <c r="B285" s="0" t="s">
        <v>371</v>
      </c>
      <c r="C285" s="0" t="s">
        <v>20</v>
      </c>
      <c r="D285" s="0" t="s">
        <v>109</v>
      </c>
      <c r="E285" s="58" t="str">
        <f aca="false">VLOOKUP(D285,Models!$A$2:$B$13,2,0)</f>
        <v>55-inch QLED TV</v>
      </c>
      <c r="F285" s="0" t="s">
        <v>79</v>
      </c>
      <c r="G285" s="58" t="str">
        <f aca="false">VLOOKUP(F285,Countries!$A$2:$B$11,2,0)</f>
        <v>Iraq</v>
      </c>
      <c r="H285" s="13" t="n">
        <v>28</v>
      </c>
      <c r="I285" s="13" t="n">
        <v>436800</v>
      </c>
      <c r="J285" s="0" t="s">
        <v>12</v>
      </c>
      <c r="K285" s="0" t="s">
        <v>292</v>
      </c>
    </row>
    <row r="286" customFormat="false" ht="12.8" hidden="false" customHeight="false" outlineLevel="0" collapsed="false">
      <c r="A286" s="57" t="n">
        <v>46223</v>
      </c>
      <c r="B286" s="0" t="s">
        <v>372</v>
      </c>
      <c r="C286" s="0" t="s">
        <v>20</v>
      </c>
      <c r="D286" s="0" t="s">
        <v>85</v>
      </c>
      <c r="E286" s="58" t="str">
        <f aca="false">VLOOKUP(D286,Models!$A$2:$B$13,2,0)</f>
        <v>75-inch 4K TV</v>
      </c>
      <c r="F286" s="0" t="s">
        <v>69</v>
      </c>
      <c r="G286" s="58" t="str">
        <f aca="false">VLOOKUP(F286,Countries!$A$2:$B$11,2,0)</f>
        <v>Egypt</v>
      </c>
      <c r="H286" s="13" t="n">
        <v>15</v>
      </c>
      <c r="I286" s="13" t="n">
        <v>468000</v>
      </c>
      <c r="J286" s="0" t="s">
        <v>12</v>
      </c>
      <c r="K286" s="0" t="s">
        <v>292</v>
      </c>
    </row>
    <row r="287" customFormat="false" ht="12.8" hidden="false" customHeight="false" outlineLevel="0" collapsed="false">
      <c r="A287" s="57" t="n">
        <v>46223</v>
      </c>
      <c r="B287" s="0" t="s">
        <v>373</v>
      </c>
      <c r="C287" s="0" t="s">
        <v>21</v>
      </c>
      <c r="D287" s="0" t="s">
        <v>71</v>
      </c>
      <c r="E287" s="58" t="str">
        <f aca="false">VLOOKUP(D287,Models!$A$2:$B$13,2,0)</f>
        <v>43-inch Full HD TV</v>
      </c>
      <c r="F287" s="0" t="s">
        <v>177</v>
      </c>
      <c r="G287" s="58" t="str">
        <f aca="false">VLOOKUP(F287,Countries!$A$2:$B$11,2,0)</f>
        <v>Saudi Arabia</v>
      </c>
      <c r="H287" s="13" t="n">
        <v>26</v>
      </c>
      <c r="I287" s="13" t="n">
        <v>179400</v>
      </c>
      <c r="J287" s="0" t="s">
        <v>12</v>
      </c>
      <c r="K287" s="0" t="s">
        <v>292</v>
      </c>
    </row>
    <row r="288" customFormat="false" ht="12.8" hidden="false" customHeight="false" outlineLevel="0" collapsed="false">
      <c r="A288" s="57" t="n">
        <v>46224</v>
      </c>
      <c r="B288" s="0" t="s">
        <v>374</v>
      </c>
      <c r="C288" s="0" t="s">
        <v>13</v>
      </c>
      <c r="D288" s="0" t="s">
        <v>90</v>
      </c>
      <c r="E288" s="58" t="str">
        <f aca="false">VLOOKUP(D288,Models!$A$2:$B$13,2,0)</f>
        <v>55-inch 4K TV</v>
      </c>
      <c r="F288" s="0" t="s">
        <v>69</v>
      </c>
      <c r="G288" s="58" t="str">
        <f aca="false">VLOOKUP(F288,Countries!$A$2:$B$11,2,0)</f>
        <v>Egypt</v>
      </c>
      <c r="H288" s="13" t="n">
        <v>23</v>
      </c>
      <c r="I288" s="13" t="n">
        <v>282900</v>
      </c>
      <c r="J288" s="0" t="s">
        <v>12</v>
      </c>
      <c r="K288" s="0" t="s">
        <v>292</v>
      </c>
    </row>
    <row r="289" customFormat="false" ht="12.8" hidden="false" customHeight="false" outlineLevel="0" collapsed="false">
      <c r="A289" s="57" t="n">
        <v>46224</v>
      </c>
      <c r="B289" s="0" t="s">
        <v>375</v>
      </c>
      <c r="C289" s="0" t="s">
        <v>13</v>
      </c>
      <c r="D289" s="0" t="s">
        <v>85</v>
      </c>
      <c r="E289" s="58" t="str">
        <f aca="false">VLOOKUP(D289,Models!$A$2:$B$13,2,0)</f>
        <v>75-inch 4K TV</v>
      </c>
      <c r="F289" s="0" t="s">
        <v>72</v>
      </c>
      <c r="G289" s="58" t="str">
        <f aca="false">VLOOKUP(F289,Countries!$A$2:$B$11,2,0)</f>
        <v>Kenya</v>
      </c>
      <c r="H289" s="13" t="n">
        <v>12</v>
      </c>
      <c r="I289" s="13" t="n">
        <v>374400</v>
      </c>
      <c r="J289" s="0" t="s">
        <v>12</v>
      </c>
      <c r="K289" s="0" t="s">
        <v>292</v>
      </c>
    </row>
    <row r="290" customFormat="false" ht="12.8" hidden="false" customHeight="false" outlineLevel="0" collapsed="false">
      <c r="A290" s="57" t="n">
        <v>46224</v>
      </c>
      <c r="B290" s="0" t="s">
        <v>376</v>
      </c>
      <c r="C290" s="0" t="s">
        <v>13</v>
      </c>
      <c r="D290" s="0" t="s">
        <v>88</v>
      </c>
      <c r="E290" s="58" t="str">
        <f aca="false">VLOOKUP(D290,Models!$A$2:$B$13,2,0)</f>
        <v>24-inch HD TV</v>
      </c>
      <c r="F290" s="0" t="s">
        <v>69</v>
      </c>
      <c r="G290" s="58" t="str">
        <f aca="false">VLOOKUP(F290,Countries!$A$2:$B$11,2,0)</f>
        <v>Egypt</v>
      </c>
      <c r="H290" s="13" t="n">
        <v>36</v>
      </c>
      <c r="I290" s="13" t="n">
        <v>104400</v>
      </c>
      <c r="J290" s="0" t="s">
        <v>12</v>
      </c>
      <c r="K290" s="0" t="s">
        <v>292</v>
      </c>
    </row>
    <row r="291" customFormat="false" ht="12.8" hidden="false" customHeight="false" outlineLevel="0" collapsed="false">
      <c r="A291" s="57" t="n">
        <v>46224</v>
      </c>
      <c r="B291" s="0" t="s">
        <v>377</v>
      </c>
      <c r="C291" s="0" t="s">
        <v>13</v>
      </c>
      <c r="D291" s="0" t="s">
        <v>71</v>
      </c>
      <c r="E291" s="58" t="str">
        <f aca="false">VLOOKUP(D291,Models!$A$2:$B$13,2,0)</f>
        <v>43-inch Full HD TV</v>
      </c>
      <c r="F291" s="0" t="s">
        <v>69</v>
      </c>
      <c r="G291" s="58" t="str">
        <f aca="false">VLOOKUP(F291,Countries!$A$2:$B$11,2,0)</f>
        <v>Egypt</v>
      </c>
      <c r="H291" s="13" t="n">
        <v>44</v>
      </c>
      <c r="I291" s="13" t="n">
        <v>303600</v>
      </c>
      <c r="J291" s="0" t="s">
        <v>12</v>
      </c>
      <c r="K291" s="0" t="s">
        <v>292</v>
      </c>
    </row>
    <row r="292" customFormat="false" ht="12.8" hidden="false" customHeight="false" outlineLevel="0" collapsed="false">
      <c r="A292" s="57" t="n">
        <v>46224</v>
      </c>
      <c r="B292" s="0" t="s">
        <v>378</v>
      </c>
      <c r="C292" s="0" t="s">
        <v>13</v>
      </c>
      <c r="D292" s="0" t="s">
        <v>68</v>
      </c>
      <c r="E292" s="58" t="str">
        <f aca="false">VLOOKUP(D292,Models!$A$2:$B$13,2,0)</f>
        <v>50-inch 4K TV</v>
      </c>
      <c r="F292" s="0" t="s">
        <v>69</v>
      </c>
      <c r="G292" s="58" t="str">
        <f aca="false">VLOOKUP(F292,Countries!$A$2:$B$11,2,0)</f>
        <v>Egypt</v>
      </c>
      <c r="H292" s="13" t="n">
        <v>25</v>
      </c>
      <c r="I292" s="13" t="n">
        <v>260000</v>
      </c>
      <c r="J292" s="0" t="s">
        <v>12</v>
      </c>
      <c r="K292" s="0" t="s">
        <v>292</v>
      </c>
    </row>
    <row r="293" customFormat="false" ht="12.8" hidden="false" customHeight="false" outlineLevel="0" collapsed="false">
      <c r="A293" s="57" t="n">
        <v>46224</v>
      </c>
      <c r="B293" s="0" t="s">
        <v>379</v>
      </c>
      <c r="C293" s="0" t="s">
        <v>15</v>
      </c>
      <c r="D293" s="0" t="s">
        <v>88</v>
      </c>
      <c r="E293" s="58" t="str">
        <f aca="false">VLOOKUP(D293,Models!$A$2:$B$13,2,0)</f>
        <v>24-inch HD TV</v>
      </c>
      <c r="F293" s="0" t="s">
        <v>69</v>
      </c>
      <c r="G293" s="58" t="str">
        <f aca="false">VLOOKUP(F293,Countries!$A$2:$B$11,2,0)</f>
        <v>Egypt</v>
      </c>
      <c r="H293" s="13" t="n">
        <v>15</v>
      </c>
      <c r="I293" s="13" t="n">
        <v>43500</v>
      </c>
      <c r="J293" s="0" t="s">
        <v>12</v>
      </c>
      <c r="K293" s="0" t="s">
        <v>292</v>
      </c>
    </row>
    <row r="294" customFormat="false" ht="12.8" hidden="false" customHeight="false" outlineLevel="0" collapsed="false">
      <c r="A294" s="57" t="n">
        <v>46224</v>
      </c>
      <c r="B294" s="0" t="s">
        <v>380</v>
      </c>
      <c r="C294" s="0" t="s">
        <v>17</v>
      </c>
      <c r="D294" s="0" t="s">
        <v>95</v>
      </c>
      <c r="E294" s="58" t="str">
        <f aca="false">VLOOKUP(D294,Models!$A$2:$B$13,2,0)</f>
        <v>32-inch HD TV</v>
      </c>
      <c r="F294" s="0" t="s">
        <v>69</v>
      </c>
      <c r="G294" s="58" t="str">
        <f aca="false">VLOOKUP(F294,Countries!$A$2:$B$11,2,0)</f>
        <v>Egypt</v>
      </c>
      <c r="H294" s="13" t="n">
        <v>51</v>
      </c>
      <c r="I294" s="13" t="n">
        <v>198900</v>
      </c>
      <c r="J294" s="0" t="s">
        <v>12</v>
      </c>
      <c r="K294" s="0" t="s">
        <v>292</v>
      </c>
    </row>
    <row r="295" customFormat="false" ht="12.8" hidden="false" customHeight="false" outlineLevel="0" collapsed="false">
      <c r="A295" s="57" t="n">
        <v>46224</v>
      </c>
      <c r="B295" s="0" t="s">
        <v>381</v>
      </c>
      <c r="C295" s="0" t="s">
        <v>17</v>
      </c>
      <c r="D295" s="0" t="s">
        <v>68</v>
      </c>
      <c r="E295" s="58" t="str">
        <f aca="false">VLOOKUP(D295,Models!$A$2:$B$13,2,0)</f>
        <v>50-inch 4K TV</v>
      </c>
      <c r="F295" s="0" t="s">
        <v>69</v>
      </c>
      <c r="G295" s="58" t="str">
        <f aca="false">VLOOKUP(F295,Countries!$A$2:$B$11,2,0)</f>
        <v>Egypt</v>
      </c>
      <c r="H295" s="13" t="n">
        <v>8</v>
      </c>
      <c r="I295" s="13" t="n">
        <v>83200</v>
      </c>
      <c r="J295" s="0" t="s">
        <v>12</v>
      </c>
      <c r="K295" s="0" t="s">
        <v>292</v>
      </c>
    </row>
    <row r="296" customFormat="false" ht="12.8" hidden="false" customHeight="false" outlineLevel="0" collapsed="false">
      <c r="A296" s="57" t="n">
        <v>46224</v>
      </c>
      <c r="B296" s="0" t="s">
        <v>382</v>
      </c>
      <c r="C296" s="0" t="s">
        <v>19</v>
      </c>
      <c r="D296" s="0" t="s">
        <v>74</v>
      </c>
      <c r="E296" s="58" t="str">
        <f aca="false">VLOOKUP(D296,Models!$A$2:$B$13,2,0)</f>
        <v>40-inch Full HD TV</v>
      </c>
      <c r="F296" s="0" t="s">
        <v>69</v>
      </c>
      <c r="G296" s="58" t="str">
        <f aca="false">VLOOKUP(F296,Countries!$A$2:$B$11,2,0)</f>
        <v>Egypt</v>
      </c>
      <c r="H296" s="13" t="n">
        <v>20</v>
      </c>
      <c r="I296" s="13" t="n">
        <v>124000</v>
      </c>
      <c r="J296" s="0" t="s">
        <v>12</v>
      </c>
      <c r="K296" s="0" t="s">
        <v>292</v>
      </c>
    </row>
    <row r="297" customFormat="false" ht="12.8" hidden="false" customHeight="false" outlineLevel="0" collapsed="false">
      <c r="A297" s="57" t="n">
        <v>46224</v>
      </c>
      <c r="B297" s="0" t="s">
        <v>383</v>
      </c>
      <c r="C297" s="0" t="s">
        <v>19</v>
      </c>
      <c r="D297" s="0" t="s">
        <v>74</v>
      </c>
      <c r="E297" s="58" t="str">
        <f aca="false">VLOOKUP(D297,Models!$A$2:$B$13,2,0)</f>
        <v>40-inch Full HD TV</v>
      </c>
      <c r="F297" s="0" t="s">
        <v>69</v>
      </c>
      <c r="G297" s="58" t="str">
        <f aca="false">VLOOKUP(F297,Countries!$A$2:$B$11,2,0)</f>
        <v>Egypt</v>
      </c>
      <c r="H297" s="13" t="n">
        <v>11</v>
      </c>
      <c r="I297" s="13" t="n">
        <v>68200</v>
      </c>
      <c r="J297" s="0" t="s">
        <v>12</v>
      </c>
      <c r="K297" s="0" t="s">
        <v>292</v>
      </c>
    </row>
    <row r="298" customFormat="false" ht="12.8" hidden="false" customHeight="false" outlineLevel="0" collapsed="false">
      <c r="A298" s="57" t="n">
        <v>46224</v>
      </c>
      <c r="B298" s="0" t="s">
        <v>384</v>
      </c>
      <c r="C298" s="0" t="s">
        <v>20</v>
      </c>
      <c r="D298" s="0" t="s">
        <v>71</v>
      </c>
      <c r="E298" s="58" t="str">
        <f aca="false">VLOOKUP(D298,Models!$A$2:$B$13,2,0)</f>
        <v>43-inch Full HD TV</v>
      </c>
      <c r="F298" s="0" t="s">
        <v>69</v>
      </c>
      <c r="G298" s="58" t="str">
        <f aca="false">VLOOKUP(F298,Countries!$A$2:$B$11,2,0)</f>
        <v>Egypt</v>
      </c>
      <c r="H298" s="13" t="n">
        <v>5</v>
      </c>
      <c r="I298" s="13" t="n">
        <v>34500</v>
      </c>
      <c r="J298" s="0" t="s">
        <v>12</v>
      </c>
      <c r="K298" s="0" t="s">
        <v>292</v>
      </c>
    </row>
    <row r="299" customFormat="false" ht="12.8" hidden="false" customHeight="false" outlineLevel="0" collapsed="false">
      <c r="A299" s="57" t="n">
        <v>46224</v>
      </c>
      <c r="B299" s="0" t="s">
        <v>385</v>
      </c>
      <c r="C299" s="0" t="s">
        <v>21</v>
      </c>
      <c r="D299" s="0" t="s">
        <v>109</v>
      </c>
      <c r="E299" s="58" t="str">
        <f aca="false">VLOOKUP(D299,Models!$A$2:$B$13,2,0)</f>
        <v>55-inch QLED TV</v>
      </c>
      <c r="F299" s="0" t="s">
        <v>69</v>
      </c>
      <c r="G299" s="58" t="str">
        <f aca="false">VLOOKUP(F299,Countries!$A$2:$B$11,2,0)</f>
        <v>Egypt</v>
      </c>
      <c r="H299" s="13" t="n">
        <v>22</v>
      </c>
      <c r="I299" s="13" t="n">
        <v>343200</v>
      </c>
      <c r="J299" s="0" t="s">
        <v>12</v>
      </c>
      <c r="K299" s="0" t="s">
        <v>292</v>
      </c>
    </row>
    <row r="300" customFormat="false" ht="12.8" hidden="false" customHeight="false" outlineLevel="0" collapsed="false">
      <c r="A300" s="57" t="n">
        <v>46225</v>
      </c>
      <c r="B300" s="0" t="s">
        <v>386</v>
      </c>
      <c r="C300" s="0" t="s">
        <v>13</v>
      </c>
      <c r="D300" s="0" t="s">
        <v>88</v>
      </c>
      <c r="E300" s="58" t="str">
        <f aca="false">VLOOKUP(D300,Models!$A$2:$B$13,2,0)</f>
        <v>24-inch HD TV</v>
      </c>
      <c r="F300" s="0" t="s">
        <v>79</v>
      </c>
      <c r="G300" s="58" t="str">
        <f aca="false">VLOOKUP(F300,Countries!$A$2:$B$11,2,0)</f>
        <v>Iraq</v>
      </c>
      <c r="H300" s="13" t="n">
        <v>56</v>
      </c>
      <c r="I300" s="13" t="n">
        <v>162400</v>
      </c>
      <c r="J300" s="0" t="s">
        <v>12</v>
      </c>
      <c r="K300" s="0" t="s">
        <v>387</v>
      </c>
    </row>
    <row r="301" customFormat="false" ht="12.8" hidden="false" customHeight="false" outlineLevel="0" collapsed="false">
      <c r="A301" s="57" t="n">
        <v>46225</v>
      </c>
      <c r="B301" s="0" t="s">
        <v>388</v>
      </c>
      <c r="C301" s="0" t="s">
        <v>13</v>
      </c>
      <c r="D301" s="0" t="s">
        <v>71</v>
      </c>
      <c r="E301" s="58" t="str">
        <f aca="false">VLOOKUP(D301,Models!$A$2:$B$13,2,0)</f>
        <v>43-inch Full HD TV</v>
      </c>
      <c r="F301" s="0" t="s">
        <v>103</v>
      </c>
      <c r="G301" s="58" t="str">
        <f aca="false">VLOOKUP(F301,Countries!$A$2:$B$11,2,0)</f>
        <v>Morocco</v>
      </c>
      <c r="H301" s="13" t="n">
        <v>42</v>
      </c>
      <c r="I301" s="13" t="n">
        <v>289800</v>
      </c>
      <c r="J301" s="0" t="s">
        <v>12</v>
      </c>
      <c r="K301" s="0" t="s">
        <v>387</v>
      </c>
    </row>
    <row r="302" customFormat="false" ht="12.8" hidden="false" customHeight="false" outlineLevel="0" collapsed="false">
      <c r="A302" s="57" t="n">
        <v>46225</v>
      </c>
      <c r="B302" s="0" t="s">
        <v>389</v>
      </c>
      <c r="C302" s="0" t="s">
        <v>13</v>
      </c>
      <c r="D302" s="0" t="s">
        <v>68</v>
      </c>
      <c r="E302" s="58" t="str">
        <f aca="false">VLOOKUP(D302,Models!$A$2:$B$13,2,0)</f>
        <v>50-inch 4K TV</v>
      </c>
      <c r="F302" s="0" t="s">
        <v>69</v>
      </c>
      <c r="G302" s="58" t="str">
        <f aca="false">VLOOKUP(F302,Countries!$A$2:$B$11,2,0)</f>
        <v>Egypt</v>
      </c>
      <c r="H302" s="13" t="n">
        <v>26</v>
      </c>
      <c r="I302" s="13" t="n">
        <v>270400</v>
      </c>
      <c r="J302" s="0" t="s">
        <v>12</v>
      </c>
      <c r="K302" s="0" t="s">
        <v>387</v>
      </c>
    </row>
    <row r="303" customFormat="false" ht="12.8" hidden="false" customHeight="false" outlineLevel="0" collapsed="false">
      <c r="A303" s="57" t="n">
        <v>46225</v>
      </c>
      <c r="B303" s="0" t="s">
        <v>390</v>
      </c>
      <c r="C303" s="0" t="s">
        <v>15</v>
      </c>
      <c r="D303" s="0" t="s">
        <v>109</v>
      </c>
      <c r="E303" s="58" t="str">
        <f aca="false">VLOOKUP(D303,Models!$A$2:$B$13,2,0)</f>
        <v>55-inch QLED TV</v>
      </c>
      <c r="F303" s="0" t="s">
        <v>69</v>
      </c>
      <c r="G303" s="58" t="str">
        <f aca="false">VLOOKUP(F303,Countries!$A$2:$B$11,2,0)</f>
        <v>Egypt</v>
      </c>
      <c r="H303" s="13" t="n">
        <v>15</v>
      </c>
      <c r="I303" s="13" t="n">
        <v>234000</v>
      </c>
      <c r="J303" s="0" t="s">
        <v>12</v>
      </c>
      <c r="K303" s="0" t="s">
        <v>387</v>
      </c>
    </row>
    <row r="304" customFormat="false" ht="12.8" hidden="false" customHeight="false" outlineLevel="0" collapsed="false">
      <c r="A304" s="57" t="n">
        <v>46225</v>
      </c>
      <c r="B304" s="0" t="s">
        <v>391</v>
      </c>
      <c r="C304" s="0" t="s">
        <v>15</v>
      </c>
      <c r="D304" s="0" t="s">
        <v>71</v>
      </c>
      <c r="E304" s="58" t="str">
        <f aca="false">VLOOKUP(D304,Models!$A$2:$B$13,2,0)</f>
        <v>43-inch Full HD TV</v>
      </c>
      <c r="F304" s="0" t="s">
        <v>103</v>
      </c>
      <c r="G304" s="58" t="str">
        <f aca="false">VLOOKUP(F304,Countries!$A$2:$B$11,2,0)</f>
        <v>Morocco</v>
      </c>
      <c r="H304" s="13" t="n">
        <v>26</v>
      </c>
      <c r="I304" s="13" t="n">
        <v>179400</v>
      </c>
      <c r="J304" s="0" t="s">
        <v>12</v>
      </c>
      <c r="K304" s="0" t="s">
        <v>387</v>
      </c>
    </row>
    <row r="305" customFormat="false" ht="12.8" hidden="false" customHeight="false" outlineLevel="0" collapsed="false">
      <c r="A305" s="57" t="n">
        <v>46225</v>
      </c>
      <c r="B305" s="0" t="s">
        <v>392</v>
      </c>
      <c r="C305" s="0" t="s">
        <v>15</v>
      </c>
      <c r="D305" s="0" t="s">
        <v>71</v>
      </c>
      <c r="E305" s="58" t="str">
        <f aca="false">VLOOKUP(D305,Models!$A$2:$B$13,2,0)</f>
        <v>43-inch Full HD TV</v>
      </c>
      <c r="F305" s="0" t="s">
        <v>69</v>
      </c>
      <c r="G305" s="58" t="str">
        <f aca="false">VLOOKUP(F305,Countries!$A$2:$B$11,2,0)</f>
        <v>Egypt</v>
      </c>
      <c r="H305" s="13" t="n">
        <v>14</v>
      </c>
      <c r="I305" s="13" t="n">
        <v>96600</v>
      </c>
      <c r="J305" s="0" t="s">
        <v>12</v>
      </c>
      <c r="K305" s="0" t="s">
        <v>387</v>
      </c>
    </row>
    <row r="306" customFormat="false" ht="12.8" hidden="false" customHeight="false" outlineLevel="0" collapsed="false">
      <c r="A306" s="57" t="n">
        <v>46225</v>
      </c>
      <c r="B306" s="0" t="s">
        <v>393</v>
      </c>
      <c r="C306" s="0" t="s">
        <v>15</v>
      </c>
      <c r="D306" s="0" t="s">
        <v>74</v>
      </c>
      <c r="E306" s="58" t="str">
        <f aca="false">VLOOKUP(D306,Models!$A$2:$B$13,2,0)</f>
        <v>40-inch Full HD TV</v>
      </c>
      <c r="F306" s="0" t="s">
        <v>98</v>
      </c>
      <c r="G306" s="58" t="str">
        <f aca="false">VLOOKUP(F306,Countries!$A$2:$B$11,2,0)</f>
        <v>Libya</v>
      </c>
      <c r="H306" s="13" t="n">
        <v>11</v>
      </c>
      <c r="I306" s="13" t="n">
        <v>68200</v>
      </c>
      <c r="J306" s="0" t="s">
        <v>12</v>
      </c>
      <c r="K306" s="0" t="s">
        <v>387</v>
      </c>
    </row>
    <row r="307" customFormat="false" ht="12.8" hidden="false" customHeight="false" outlineLevel="0" collapsed="false">
      <c r="A307" s="57" t="n">
        <v>46225</v>
      </c>
      <c r="B307" s="0" t="s">
        <v>394</v>
      </c>
      <c r="C307" s="0" t="s">
        <v>17</v>
      </c>
      <c r="D307" s="0" t="s">
        <v>90</v>
      </c>
      <c r="E307" s="58" t="str">
        <f aca="false">VLOOKUP(D307,Models!$A$2:$B$13,2,0)</f>
        <v>55-inch 4K TV</v>
      </c>
      <c r="F307" s="0" t="s">
        <v>79</v>
      </c>
      <c r="G307" s="58" t="str">
        <f aca="false">VLOOKUP(F307,Countries!$A$2:$B$11,2,0)</f>
        <v>Iraq</v>
      </c>
      <c r="H307" s="13" t="n">
        <v>32</v>
      </c>
      <c r="I307" s="13" t="n">
        <v>393600</v>
      </c>
      <c r="J307" s="0" t="s">
        <v>12</v>
      </c>
      <c r="K307" s="0" t="s">
        <v>387</v>
      </c>
    </row>
    <row r="308" customFormat="false" ht="12.8" hidden="false" customHeight="false" outlineLevel="0" collapsed="false">
      <c r="A308" s="57" t="n">
        <v>46225</v>
      </c>
      <c r="B308" s="0" t="s">
        <v>395</v>
      </c>
      <c r="C308" s="0" t="s">
        <v>17</v>
      </c>
      <c r="D308" s="0" t="s">
        <v>74</v>
      </c>
      <c r="E308" s="58" t="str">
        <f aca="false">VLOOKUP(D308,Models!$A$2:$B$13,2,0)</f>
        <v>40-inch Full HD TV</v>
      </c>
      <c r="F308" s="0" t="s">
        <v>101</v>
      </c>
      <c r="G308" s="58" t="str">
        <f aca="false">VLOOKUP(F308,Countries!$A$2:$B$11,2,0)</f>
        <v>Kuwait</v>
      </c>
      <c r="H308" s="13" t="n">
        <v>34</v>
      </c>
      <c r="I308" s="13" t="n">
        <v>210800</v>
      </c>
      <c r="J308" s="0" t="s">
        <v>12</v>
      </c>
      <c r="K308" s="0" t="s">
        <v>387</v>
      </c>
    </row>
    <row r="309" customFormat="false" ht="12.8" hidden="false" customHeight="false" outlineLevel="0" collapsed="false">
      <c r="A309" s="57" t="n">
        <v>46225</v>
      </c>
      <c r="B309" s="0" t="s">
        <v>396</v>
      </c>
      <c r="C309" s="0" t="s">
        <v>17</v>
      </c>
      <c r="D309" s="0" t="s">
        <v>95</v>
      </c>
      <c r="E309" s="58" t="str">
        <f aca="false">VLOOKUP(D309,Models!$A$2:$B$13,2,0)</f>
        <v>32-inch HD TV</v>
      </c>
      <c r="F309" s="0" t="s">
        <v>79</v>
      </c>
      <c r="G309" s="58" t="str">
        <f aca="false">VLOOKUP(F309,Countries!$A$2:$B$11,2,0)</f>
        <v>Iraq</v>
      </c>
      <c r="H309" s="13" t="n">
        <v>59</v>
      </c>
      <c r="I309" s="13" t="n">
        <v>230100</v>
      </c>
      <c r="J309" s="0" t="s">
        <v>12</v>
      </c>
      <c r="K309" s="0" t="s">
        <v>387</v>
      </c>
    </row>
    <row r="310" customFormat="false" ht="12.8" hidden="false" customHeight="false" outlineLevel="0" collapsed="false">
      <c r="A310" s="57" t="n">
        <v>46225</v>
      </c>
      <c r="B310" s="0" t="s">
        <v>397</v>
      </c>
      <c r="C310" s="0" t="s">
        <v>17</v>
      </c>
      <c r="D310" s="0" t="s">
        <v>85</v>
      </c>
      <c r="E310" s="58" t="str">
        <f aca="false">VLOOKUP(D310,Models!$A$2:$B$13,2,0)</f>
        <v>75-inch 4K TV</v>
      </c>
      <c r="F310" s="0" t="s">
        <v>69</v>
      </c>
      <c r="G310" s="58" t="str">
        <f aca="false">VLOOKUP(F310,Countries!$A$2:$B$11,2,0)</f>
        <v>Egypt</v>
      </c>
      <c r="H310" s="13" t="n">
        <v>16</v>
      </c>
      <c r="I310" s="13" t="n">
        <v>499200</v>
      </c>
      <c r="J310" s="0" t="s">
        <v>12</v>
      </c>
      <c r="K310" s="0" t="s">
        <v>387</v>
      </c>
    </row>
    <row r="311" customFormat="false" ht="12.8" hidden="false" customHeight="false" outlineLevel="0" collapsed="false">
      <c r="A311" s="57" t="n">
        <v>46225</v>
      </c>
      <c r="B311" s="0" t="s">
        <v>398</v>
      </c>
      <c r="C311" s="0" t="s">
        <v>19</v>
      </c>
      <c r="D311" s="0" t="s">
        <v>92</v>
      </c>
      <c r="E311" s="58" t="str">
        <f aca="false">VLOOKUP(D311,Models!$A$2:$B$13,2,0)</f>
        <v>65-inch 4K TV</v>
      </c>
      <c r="F311" s="0" t="s">
        <v>69</v>
      </c>
      <c r="G311" s="58" t="str">
        <f aca="false">VLOOKUP(F311,Countries!$A$2:$B$11,2,0)</f>
        <v>Egypt</v>
      </c>
      <c r="H311" s="13" t="n">
        <v>19</v>
      </c>
      <c r="I311" s="13" t="n">
        <v>376200</v>
      </c>
      <c r="J311" s="0" t="s">
        <v>12</v>
      </c>
      <c r="K311" s="0" t="s">
        <v>387</v>
      </c>
    </row>
    <row r="312" customFormat="false" ht="12.8" hidden="false" customHeight="false" outlineLevel="0" collapsed="false">
      <c r="A312" s="57" t="n">
        <v>46225</v>
      </c>
      <c r="B312" s="0" t="s">
        <v>399</v>
      </c>
      <c r="C312" s="0" t="s">
        <v>19</v>
      </c>
      <c r="D312" s="0" t="s">
        <v>74</v>
      </c>
      <c r="E312" s="58" t="str">
        <f aca="false">VLOOKUP(D312,Models!$A$2:$B$13,2,0)</f>
        <v>40-inch Full HD TV</v>
      </c>
      <c r="F312" s="0" t="s">
        <v>69</v>
      </c>
      <c r="G312" s="58" t="str">
        <f aca="false">VLOOKUP(F312,Countries!$A$2:$B$11,2,0)</f>
        <v>Egypt</v>
      </c>
      <c r="H312" s="13" t="n">
        <v>41</v>
      </c>
      <c r="I312" s="13" t="n">
        <v>254200</v>
      </c>
      <c r="J312" s="0" t="s">
        <v>12</v>
      </c>
      <c r="K312" s="0" t="s">
        <v>387</v>
      </c>
    </row>
    <row r="313" customFormat="false" ht="12.8" hidden="false" customHeight="false" outlineLevel="0" collapsed="false">
      <c r="A313" s="57" t="n">
        <v>46225</v>
      </c>
      <c r="B313" s="0" t="s">
        <v>400</v>
      </c>
      <c r="C313" s="0" t="s">
        <v>19</v>
      </c>
      <c r="D313" s="0" t="s">
        <v>81</v>
      </c>
      <c r="E313" s="58" t="str">
        <f aca="false">VLOOKUP(D313,Models!$A$2:$B$13,2,0)</f>
        <v>43-inch Smart TV</v>
      </c>
      <c r="F313" s="0" t="s">
        <v>69</v>
      </c>
      <c r="G313" s="58" t="str">
        <f aca="false">VLOOKUP(F313,Countries!$A$2:$B$11,2,0)</f>
        <v>Egypt</v>
      </c>
      <c r="H313" s="13" t="n">
        <v>14</v>
      </c>
      <c r="I313" s="13" t="n">
        <v>109200</v>
      </c>
      <c r="J313" s="0" t="s">
        <v>12</v>
      </c>
      <c r="K313" s="0" t="s">
        <v>387</v>
      </c>
    </row>
    <row r="314" customFormat="false" ht="12.8" hidden="false" customHeight="false" outlineLevel="0" collapsed="false">
      <c r="A314" s="57" t="n">
        <v>46225</v>
      </c>
      <c r="B314" s="0" t="s">
        <v>401</v>
      </c>
      <c r="C314" s="0" t="s">
        <v>19</v>
      </c>
      <c r="D314" s="0" t="s">
        <v>85</v>
      </c>
      <c r="E314" s="58" t="str">
        <f aca="false">VLOOKUP(D314,Models!$A$2:$B$13,2,0)</f>
        <v>75-inch 4K TV</v>
      </c>
      <c r="F314" s="0" t="s">
        <v>75</v>
      </c>
      <c r="G314" s="58" t="str">
        <f aca="false">VLOOKUP(F314,Countries!$A$2:$B$11,2,0)</f>
        <v>Nigeria</v>
      </c>
      <c r="H314" s="13" t="n">
        <v>13</v>
      </c>
      <c r="I314" s="13" t="n">
        <v>405600</v>
      </c>
      <c r="J314" s="0" t="s">
        <v>12</v>
      </c>
      <c r="K314" s="0" t="s">
        <v>387</v>
      </c>
    </row>
    <row r="315" customFormat="false" ht="12.8" hidden="false" customHeight="false" outlineLevel="0" collapsed="false">
      <c r="A315" s="57" t="n">
        <v>46225</v>
      </c>
      <c r="B315" s="0" t="s">
        <v>402</v>
      </c>
      <c r="C315" s="0" t="s">
        <v>20</v>
      </c>
      <c r="D315" s="0" t="s">
        <v>88</v>
      </c>
      <c r="E315" s="58" t="str">
        <f aca="false">VLOOKUP(D315,Models!$A$2:$B$13,2,0)</f>
        <v>24-inch HD TV</v>
      </c>
      <c r="F315" s="0" t="s">
        <v>65</v>
      </c>
      <c r="G315" s="58" t="str">
        <f aca="false">VLOOKUP(F315,Countries!$A$2:$B$11,2,0)</f>
        <v>Jordan</v>
      </c>
      <c r="H315" s="13" t="n">
        <v>48</v>
      </c>
      <c r="I315" s="13" t="n">
        <v>139200</v>
      </c>
      <c r="J315" s="0" t="s">
        <v>12</v>
      </c>
      <c r="K315" s="0" t="s">
        <v>387</v>
      </c>
    </row>
    <row r="316" customFormat="false" ht="12.8" hidden="false" customHeight="false" outlineLevel="0" collapsed="false">
      <c r="A316" s="57" t="n">
        <v>46225</v>
      </c>
      <c r="B316" s="0" t="s">
        <v>403</v>
      </c>
      <c r="C316" s="0" t="s">
        <v>20</v>
      </c>
      <c r="D316" s="0" t="s">
        <v>109</v>
      </c>
      <c r="E316" s="58" t="str">
        <f aca="false">VLOOKUP(D316,Models!$A$2:$B$13,2,0)</f>
        <v>55-inch QLED TV</v>
      </c>
      <c r="F316" s="0" t="s">
        <v>69</v>
      </c>
      <c r="G316" s="58" t="str">
        <f aca="false">VLOOKUP(F316,Countries!$A$2:$B$11,2,0)</f>
        <v>Egypt</v>
      </c>
      <c r="H316" s="13" t="n">
        <v>11</v>
      </c>
      <c r="I316" s="13" t="n">
        <v>171600</v>
      </c>
      <c r="J316" s="0" t="s">
        <v>12</v>
      </c>
      <c r="K316" s="0" t="s">
        <v>387</v>
      </c>
    </row>
    <row r="317" customFormat="false" ht="12.8" hidden="false" customHeight="false" outlineLevel="0" collapsed="false">
      <c r="A317" s="57" t="n">
        <v>46225</v>
      </c>
      <c r="B317" s="0" t="s">
        <v>404</v>
      </c>
      <c r="C317" s="0" t="s">
        <v>21</v>
      </c>
      <c r="D317" s="0" t="s">
        <v>90</v>
      </c>
      <c r="E317" s="58" t="str">
        <f aca="false">VLOOKUP(D317,Models!$A$2:$B$13,2,0)</f>
        <v>55-inch 4K TV</v>
      </c>
      <c r="F317" s="0" t="s">
        <v>69</v>
      </c>
      <c r="G317" s="58" t="str">
        <f aca="false">VLOOKUP(F317,Countries!$A$2:$B$11,2,0)</f>
        <v>Egypt</v>
      </c>
      <c r="H317" s="13" t="n">
        <v>9</v>
      </c>
      <c r="I317" s="13" t="n">
        <v>110700</v>
      </c>
      <c r="J317" s="0" t="s">
        <v>12</v>
      </c>
      <c r="K317" s="0" t="s">
        <v>387</v>
      </c>
    </row>
    <row r="318" customFormat="false" ht="12.8" hidden="false" customHeight="false" outlineLevel="0" collapsed="false">
      <c r="A318" s="57" t="n">
        <v>46226</v>
      </c>
      <c r="B318" s="0" t="s">
        <v>405</v>
      </c>
      <c r="C318" s="0" t="s">
        <v>13</v>
      </c>
      <c r="D318" s="0" t="s">
        <v>92</v>
      </c>
      <c r="E318" s="58" t="str">
        <f aca="false">VLOOKUP(D318,Models!$A$2:$B$13,2,0)</f>
        <v>65-inch 4K TV</v>
      </c>
      <c r="F318" s="0" t="s">
        <v>103</v>
      </c>
      <c r="G318" s="58" t="str">
        <f aca="false">VLOOKUP(F318,Countries!$A$2:$B$11,2,0)</f>
        <v>Morocco</v>
      </c>
      <c r="H318" s="13" t="n">
        <v>6</v>
      </c>
      <c r="I318" s="13" t="n">
        <v>118800</v>
      </c>
      <c r="J318" s="0" t="s">
        <v>12</v>
      </c>
      <c r="K318" s="0" t="s">
        <v>387</v>
      </c>
    </row>
    <row r="319" customFormat="false" ht="12.8" hidden="false" customHeight="false" outlineLevel="0" collapsed="false">
      <c r="A319" s="57" t="n">
        <v>46226</v>
      </c>
      <c r="B319" s="0" t="s">
        <v>406</v>
      </c>
      <c r="C319" s="0" t="s">
        <v>13</v>
      </c>
      <c r="D319" s="0" t="s">
        <v>88</v>
      </c>
      <c r="E319" s="58" t="str">
        <f aca="false">VLOOKUP(D319,Models!$A$2:$B$13,2,0)</f>
        <v>24-inch HD TV</v>
      </c>
      <c r="F319" s="0" t="s">
        <v>69</v>
      </c>
      <c r="G319" s="58" t="str">
        <f aca="false">VLOOKUP(F319,Countries!$A$2:$B$11,2,0)</f>
        <v>Egypt</v>
      </c>
      <c r="H319" s="13" t="n">
        <v>42</v>
      </c>
      <c r="I319" s="13" t="n">
        <v>121800</v>
      </c>
      <c r="J319" s="0" t="s">
        <v>12</v>
      </c>
      <c r="K319" s="0" t="s">
        <v>387</v>
      </c>
    </row>
    <row r="320" customFormat="false" ht="12.8" hidden="false" customHeight="false" outlineLevel="0" collapsed="false">
      <c r="A320" s="57" t="n">
        <v>46226</v>
      </c>
      <c r="B320" s="0" t="s">
        <v>407</v>
      </c>
      <c r="C320" s="0" t="s">
        <v>15</v>
      </c>
      <c r="D320" s="0" t="s">
        <v>85</v>
      </c>
      <c r="E320" s="58" t="str">
        <f aca="false">VLOOKUP(D320,Models!$A$2:$B$13,2,0)</f>
        <v>75-inch 4K TV</v>
      </c>
      <c r="F320" s="0" t="s">
        <v>83</v>
      </c>
      <c r="G320" s="58" t="str">
        <f aca="false">VLOOKUP(F320,Countries!$A$2:$B$11,2,0)</f>
        <v>United Arab Emirates</v>
      </c>
      <c r="H320" s="13" t="n">
        <v>10</v>
      </c>
      <c r="I320" s="13" t="n">
        <v>312000</v>
      </c>
      <c r="J320" s="0" t="s">
        <v>12</v>
      </c>
      <c r="K320" s="0" t="s">
        <v>387</v>
      </c>
    </row>
    <row r="321" customFormat="false" ht="12.8" hidden="false" customHeight="false" outlineLevel="0" collapsed="false">
      <c r="A321" s="57" t="n">
        <v>46226</v>
      </c>
      <c r="B321" s="0" t="s">
        <v>408</v>
      </c>
      <c r="C321" s="0" t="s">
        <v>15</v>
      </c>
      <c r="D321" s="0" t="s">
        <v>85</v>
      </c>
      <c r="E321" s="58" t="str">
        <f aca="false">VLOOKUP(D321,Models!$A$2:$B$13,2,0)</f>
        <v>75-inch 4K TV</v>
      </c>
      <c r="F321" s="0" t="s">
        <v>69</v>
      </c>
      <c r="G321" s="58" t="str">
        <f aca="false">VLOOKUP(F321,Countries!$A$2:$B$11,2,0)</f>
        <v>Egypt</v>
      </c>
      <c r="H321" s="13" t="n">
        <v>14</v>
      </c>
      <c r="I321" s="13" t="n">
        <v>436800</v>
      </c>
      <c r="J321" s="0" t="s">
        <v>12</v>
      </c>
      <c r="K321" s="0" t="s">
        <v>387</v>
      </c>
    </row>
    <row r="322" customFormat="false" ht="12.8" hidden="false" customHeight="false" outlineLevel="0" collapsed="false">
      <c r="A322" s="57" t="n">
        <v>46226</v>
      </c>
      <c r="B322" s="0" t="s">
        <v>409</v>
      </c>
      <c r="C322" s="0" t="s">
        <v>15</v>
      </c>
      <c r="D322" s="0" t="s">
        <v>85</v>
      </c>
      <c r="E322" s="58" t="str">
        <f aca="false">VLOOKUP(D322,Models!$A$2:$B$13,2,0)</f>
        <v>75-inch 4K TV</v>
      </c>
      <c r="F322" s="0" t="s">
        <v>72</v>
      </c>
      <c r="G322" s="58" t="str">
        <f aca="false">VLOOKUP(F322,Countries!$A$2:$B$11,2,0)</f>
        <v>Kenya</v>
      </c>
      <c r="H322" s="13" t="n">
        <v>5</v>
      </c>
      <c r="I322" s="13" t="n">
        <v>156000</v>
      </c>
      <c r="J322" s="0" t="s">
        <v>12</v>
      </c>
      <c r="K322" s="0" t="s">
        <v>387</v>
      </c>
    </row>
    <row r="323" customFormat="false" ht="12.8" hidden="false" customHeight="false" outlineLevel="0" collapsed="false">
      <c r="A323" s="57" t="n">
        <v>46226</v>
      </c>
      <c r="B323" s="0" t="s">
        <v>410</v>
      </c>
      <c r="C323" s="0" t="s">
        <v>17</v>
      </c>
      <c r="D323" s="0" t="s">
        <v>95</v>
      </c>
      <c r="E323" s="58" t="str">
        <f aca="false">VLOOKUP(D323,Models!$A$2:$B$13,2,0)</f>
        <v>32-inch HD TV</v>
      </c>
      <c r="F323" s="0" t="s">
        <v>69</v>
      </c>
      <c r="G323" s="58" t="str">
        <f aca="false">VLOOKUP(F323,Countries!$A$2:$B$11,2,0)</f>
        <v>Egypt</v>
      </c>
      <c r="H323" s="13" t="n">
        <v>33</v>
      </c>
      <c r="I323" s="13" t="n">
        <v>128700</v>
      </c>
      <c r="J323" s="0" t="s">
        <v>12</v>
      </c>
      <c r="K323" s="0" t="s">
        <v>387</v>
      </c>
    </row>
    <row r="324" customFormat="false" ht="12.8" hidden="false" customHeight="false" outlineLevel="0" collapsed="false">
      <c r="A324" s="57" t="n">
        <v>46226</v>
      </c>
      <c r="B324" s="0" t="s">
        <v>411</v>
      </c>
      <c r="C324" s="0" t="s">
        <v>19</v>
      </c>
      <c r="D324" s="0" t="s">
        <v>109</v>
      </c>
      <c r="E324" s="58" t="str">
        <f aca="false">VLOOKUP(D324,Models!$A$2:$B$13,2,0)</f>
        <v>55-inch QLED TV</v>
      </c>
      <c r="F324" s="0" t="s">
        <v>75</v>
      </c>
      <c r="G324" s="58" t="str">
        <f aca="false">VLOOKUP(F324,Countries!$A$2:$B$11,2,0)</f>
        <v>Nigeria</v>
      </c>
      <c r="H324" s="13" t="n">
        <v>34</v>
      </c>
      <c r="I324" s="13" t="n">
        <v>530400</v>
      </c>
      <c r="J324" s="0" t="s">
        <v>12</v>
      </c>
      <c r="K324" s="0" t="s">
        <v>387</v>
      </c>
    </row>
    <row r="325" customFormat="false" ht="12.8" hidden="false" customHeight="false" outlineLevel="0" collapsed="false">
      <c r="A325" s="57" t="n">
        <v>46226</v>
      </c>
      <c r="B325" s="0" t="s">
        <v>412</v>
      </c>
      <c r="C325" s="0" t="s">
        <v>19</v>
      </c>
      <c r="D325" s="0" t="s">
        <v>81</v>
      </c>
      <c r="E325" s="58" t="str">
        <f aca="false">VLOOKUP(D325,Models!$A$2:$B$13,2,0)</f>
        <v>43-inch Smart TV</v>
      </c>
      <c r="F325" s="0" t="s">
        <v>69</v>
      </c>
      <c r="G325" s="58" t="str">
        <f aca="false">VLOOKUP(F325,Countries!$A$2:$B$11,2,0)</f>
        <v>Egypt</v>
      </c>
      <c r="H325" s="13" t="n">
        <v>10</v>
      </c>
      <c r="I325" s="13" t="n">
        <v>78000</v>
      </c>
      <c r="J325" s="0" t="s">
        <v>12</v>
      </c>
      <c r="K325" s="0" t="s">
        <v>387</v>
      </c>
    </row>
    <row r="326" customFormat="false" ht="12.8" hidden="false" customHeight="false" outlineLevel="0" collapsed="false">
      <c r="A326" s="57" t="n">
        <v>46226</v>
      </c>
      <c r="B326" s="0" t="s">
        <v>413</v>
      </c>
      <c r="C326" s="0" t="s">
        <v>19</v>
      </c>
      <c r="D326" s="0" t="s">
        <v>71</v>
      </c>
      <c r="E326" s="58" t="str">
        <f aca="false">VLOOKUP(D326,Models!$A$2:$B$13,2,0)</f>
        <v>43-inch Full HD TV</v>
      </c>
      <c r="F326" s="0" t="s">
        <v>69</v>
      </c>
      <c r="G326" s="58" t="str">
        <f aca="false">VLOOKUP(F326,Countries!$A$2:$B$11,2,0)</f>
        <v>Egypt</v>
      </c>
      <c r="H326" s="13" t="n">
        <v>15</v>
      </c>
      <c r="I326" s="13" t="n">
        <v>103500</v>
      </c>
      <c r="J326" s="0" t="s">
        <v>12</v>
      </c>
      <c r="K326" s="0" t="s">
        <v>387</v>
      </c>
    </row>
    <row r="327" customFormat="false" ht="12.8" hidden="false" customHeight="false" outlineLevel="0" collapsed="false">
      <c r="A327" s="57" t="n">
        <v>46226</v>
      </c>
      <c r="B327" s="0" t="s">
        <v>414</v>
      </c>
      <c r="C327" s="0" t="s">
        <v>19</v>
      </c>
      <c r="D327" s="0" t="s">
        <v>71</v>
      </c>
      <c r="E327" s="58" t="str">
        <f aca="false">VLOOKUP(D327,Models!$A$2:$B$13,2,0)</f>
        <v>43-inch Full HD TV</v>
      </c>
      <c r="F327" s="0" t="s">
        <v>69</v>
      </c>
      <c r="G327" s="58" t="str">
        <f aca="false">VLOOKUP(F327,Countries!$A$2:$B$11,2,0)</f>
        <v>Egypt</v>
      </c>
      <c r="H327" s="13" t="n">
        <v>25</v>
      </c>
      <c r="I327" s="13" t="n">
        <v>172500</v>
      </c>
      <c r="J327" s="0" t="s">
        <v>12</v>
      </c>
      <c r="K327" s="0" t="s">
        <v>387</v>
      </c>
    </row>
    <row r="328" customFormat="false" ht="12.8" hidden="false" customHeight="false" outlineLevel="0" collapsed="false">
      <c r="A328" s="57" t="n">
        <v>46226</v>
      </c>
      <c r="B328" s="0" t="s">
        <v>415</v>
      </c>
      <c r="C328" s="0" t="s">
        <v>20</v>
      </c>
      <c r="D328" s="0" t="s">
        <v>88</v>
      </c>
      <c r="E328" s="58" t="str">
        <f aca="false">VLOOKUP(D328,Models!$A$2:$B$13,2,0)</f>
        <v>24-inch HD TV</v>
      </c>
      <c r="F328" s="0" t="s">
        <v>98</v>
      </c>
      <c r="G328" s="58" t="str">
        <f aca="false">VLOOKUP(F328,Countries!$A$2:$B$11,2,0)</f>
        <v>Libya</v>
      </c>
      <c r="H328" s="13" t="n">
        <v>31</v>
      </c>
      <c r="I328" s="13" t="n">
        <v>89900</v>
      </c>
      <c r="J328" s="0" t="s">
        <v>12</v>
      </c>
      <c r="K328" s="0" t="s">
        <v>387</v>
      </c>
    </row>
    <row r="329" customFormat="false" ht="12.8" hidden="false" customHeight="false" outlineLevel="0" collapsed="false">
      <c r="A329" s="57" t="n">
        <v>46226</v>
      </c>
      <c r="B329" s="0" t="s">
        <v>416</v>
      </c>
      <c r="C329" s="0" t="s">
        <v>20</v>
      </c>
      <c r="D329" s="0" t="s">
        <v>81</v>
      </c>
      <c r="E329" s="58" t="str">
        <f aca="false">VLOOKUP(D329,Models!$A$2:$B$13,2,0)</f>
        <v>43-inch Smart TV</v>
      </c>
      <c r="F329" s="0" t="s">
        <v>98</v>
      </c>
      <c r="G329" s="58" t="str">
        <f aca="false">VLOOKUP(F329,Countries!$A$2:$B$11,2,0)</f>
        <v>Libya</v>
      </c>
      <c r="H329" s="13" t="n">
        <v>7</v>
      </c>
      <c r="I329" s="13" t="n">
        <v>54600</v>
      </c>
      <c r="J329" s="0" t="s">
        <v>12</v>
      </c>
      <c r="K329" s="0" t="s">
        <v>387</v>
      </c>
    </row>
    <row r="330" customFormat="false" ht="12.8" hidden="false" customHeight="false" outlineLevel="0" collapsed="false">
      <c r="A330" s="57" t="n">
        <v>46226</v>
      </c>
      <c r="B330" s="0" t="s">
        <v>417</v>
      </c>
      <c r="C330" s="0" t="s">
        <v>20</v>
      </c>
      <c r="D330" s="0" t="s">
        <v>92</v>
      </c>
      <c r="E330" s="58" t="str">
        <f aca="false">VLOOKUP(D330,Models!$A$2:$B$13,2,0)</f>
        <v>65-inch 4K TV</v>
      </c>
      <c r="F330" s="0" t="s">
        <v>69</v>
      </c>
      <c r="G330" s="58" t="str">
        <f aca="false">VLOOKUP(F330,Countries!$A$2:$B$11,2,0)</f>
        <v>Egypt</v>
      </c>
      <c r="H330" s="13" t="n">
        <v>9</v>
      </c>
      <c r="I330" s="13" t="n">
        <v>178200</v>
      </c>
      <c r="J330" s="0" t="s">
        <v>12</v>
      </c>
      <c r="K330" s="0" t="s">
        <v>387</v>
      </c>
    </row>
    <row r="331" customFormat="false" ht="12.8" hidden="false" customHeight="false" outlineLevel="0" collapsed="false">
      <c r="A331" s="57" t="n">
        <v>46226</v>
      </c>
      <c r="B331" s="0" t="s">
        <v>418</v>
      </c>
      <c r="C331" s="0" t="s">
        <v>21</v>
      </c>
      <c r="D331" s="0" t="s">
        <v>68</v>
      </c>
      <c r="E331" s="58" t="str">
        <f aca="false">VLOOKUP(D331,Models!$A$2:$B$13,2,0)</f>
        <v>50-inch 4K TV</v>
      </c>
      <c r="F331" s="0" t="s">
        <v>69</v>
      </c>
      <c r="G331" s="58" t="str">
        <f aca="false">VLOOKUP(F331,Countries!$A$2:$B$11,2,0)</f>
        <v>Egypt</v>
      </c>
      <c r="H331" s="13" t="n">
        <v>12</v>
      </c>
      <c r="I331" s="13" t="n">
        <v>124800</v>
      </c>
      <c r="J331" s="0" t="s">
        <v>12</v>
      </c>
      <c r="K331" s="0" t="s">
        <v>387</v>
      </c>
    </row>
    <row r="332" customFormat="false" ht="12.8" hidden="false" customHeight="false" outlineLevel="0" collapsed="false">
      <c r="A332" s="57" t="n">
        <v>46226</v>
      </c>
      <c r="B332" s="0" t="s">
        <v>419</v>
      </c>
      <c r="C332" s="0" t="s">
        <v>21</v>
      </c>
      <c r="D332" s="0" t="s">
        <v>85</v>
      </c>
      <c r="E332" s="58" t="str">
        <f aca="false">VLOOKUP(D332,Models!$A$2:$B$13,2,0)</f>
        <v>75-inch 4K TV</v>
      </c>
      <c r="F332" s="0" t="s">
        <v>69</v>
      </c>
      <c r="G332" s="58" t="str">
        <f aca="false">VLOOKUP(F332,Countries!$A$2:$B$11,2,0)</f>
        <v>Egypt</v>
      </c>
      <c r="H332" s="13" t="n">
        <v>9</v>
      </c>
      <c r="I332" s="13" t="n">
        <v>280800</v>
      </c>
      <c r="J332" s="0" t="s">
        <v>12</v>
      </c>
      <c r="K332" s="0" t="s">
        <v>387</v>
      </c>
    </row>
    <row r="333" customFormat="false" ht="12.8" hidden="false" customHeight="false" outlineLevel="0" collapsed="false">
      <c r="A333" s="57" t="n">
        <v>46228</v>
      </c>
      <c r="B333" s="0" t="s">
        <v>420</v>
      </c>
      <c r="C333" s="0" t="s">
        <v>13</v>
      </c>
      <c r="D333" s="0" t="s">
        <v>88</v>
      </c>
      <c r="E333" s="58" t="str">
        <f aca="false">VLOOKUP(D333,Models!$A$2:$B$13,2,0)</f>
        <v>24-inch HD TV</v>
      </c>
      <c r="F333" s="0" t="s">
        <v>72</v>
      </c>
      <c r="G333" s="58" t="str">
        <f aca="false">VLOOKUP(F333,Countries!$A$2:$B$11,2,0)</f>
        <v>Kenya</v>
      </c>
      <c r="H333" s="13" t="n">
        <v>20</v>
      </c>
      <c r="I333" s="13" t="n">
        <v>58000</v>
      </c>
      <c r="J333" s="0" t="s">
        <v>12</v>
      </c>
      <c r="K333" s="0" t="s">
        <v>387</v>
      </c>
    </row>
    <row r="334" customFormat="false" ht="12.8" hidden="false" customHeight="false" outlineLevel="0" collapsed="false">
      <c r="A334" s="57" t="n">
        <v>46228</v>
      </c>
      <c r="B334" s="0" t="s">
        <v>421</v>
      </c>
      <c r="C334" s="0" t="s">
        <v>13</v>
      </c>
      <c r="D334" s="0" t="s">
        <v>64</v>
      </c>
      <c r="E334" s="58" t="str">
        <f aca="false">VLOOKUP(D334,Models!$A$2:$B$13,2,0)</f>
        <v>32-inch Smart TV</v>
      </c>
      <c r="F334" s="0" t="s">
        <v>69</v>
      </c>
      <c r="G334" s="58" t="str">
        <f aca="false">VLOOKUP(F334,Countries!$A$2:$B$11,2,0)</f>
        <v>Egypt</v>
      </c>
      <c r="H334" s="13" t="n">
        <v>10</v>
      </c>
      <c r="I334" s="13" t="n">
        <v>46000</v>
      </c>
      <c r="J334" s="0" t="s">
        <v>12</v>
      </c>
      <c r="K334" s="0" t="s">
        <v>387</v>
      </c>
    </row>
    <row r="335" customFormat="false" ht="12.8" hidden="false" customHeight="false" outlineLevel="0" collapsed="false">
      <c r="A335" s="57" t="n">
        <v>46228</v>
      </c>
      <c r="B335" s="0" t="s">
        <v>422</v>
      </c>
      <c r="C335" s="0" t="s">
        <v>13</v>
      </c>
      <c r="D335" s="0" t="s">
        <v>85</v>
      </c>
      <c r="E335" s="58" t="str">
        <f aca="false">VLOOKUP(D335,Models!$A$2:$B$13,2,0)</f>
        <v>75-inch 4K TV</v>
      </c>
      <c r="F335" s="0" t="s">
        <v>177</v>
      </c>
      <c r="G335" s="58" t="str">
        <f aca="false">VLOOKUP(F335,Countries!$A$2:$B$11,2,0)</f>
        <v>Saudi Arabia</v>
      </c>
      <c r="H335" s="13" t="n">
        <v>9</v>
      </c>
      <c r="I335" s="13" t="n">
        <v>280800</v>
      </c>
      <c r="J335" s="0" t="s">
        <v>12</v>
      </c>
      <c r="K335" s="0" t="s">
        <v>387</v>
      </c>
    </row>
    <row r="336" customFormat="false" ht="12.8" hidden="false" customHeight="false" outlineLevel="0" collapsed="false">
      <c r="A336" s="57" t="n">
        <v>46228</v>
      </c>
      <c r="B336" s="0" t="s">
        <v>423</v>
      </c>
      <c r="C336" s="0" t="s">
        <v>13</v>
      </c>
      <c r="D336" s="0" t="s">
        <v>81</v>
      </c>
      <c r="E336" s="58" t="str">
        <f aca="false">VLOOKUP(D336,Models!$A$2:$B$13,2,0)</f>
        <v>43-inch Smart TV</v>
      </c>
      <c r="F336" s="0" t="s">
        <v>69</v>
      </c>
      <c r="G336" s="58" t="str">
        <f aca="false">VLOOKUP(F336,Countries!$A$2:$B$11,2,0)</f>
        <v>Egypt</v>
      </c>
      <c r="H336" s="13" t="n">
        <v>16</v>
      </c>
      <c r="I336" s="13" t="n">
        <v>124800</v>
      </c>
      <c r="J336" s="0" t="s">
        <v>12</v>
      </c>
      <c r="K336" s="0" t="s">
        <v>387</v>
      </c>
    </row>
    <row r="337" customFormat="false" ht="12.8" hidden="false" customHeight="false" outlineLevel="0" collapsed="false">
      <c r="A337" s="57" t="n">
        <v>46228</v>
      </c>
      <c r="B337" s="0" t="s">
        <v>424</v>
      </c>
      <c r="C337" s="0" t="s">
        <v>13</v>
      </c>
      <c r="D337" s="0" t="s">
        <v>74</v>
      </c>
      <c r="E337" s="58" t="str">
        <f aca="false">VLOOKUP(D337,Models!$A$2:$B$13,2,0)</f>
        <v>40-inch Full HD TV</v>
      </c>
      <c r="F337" s="0" t="s">
        <v>103</v>
      </c>
      <c r="G337" s="58" t="str">
        <f aca="false">VLOOKUP(F337,Countries!$A$2:$B$11,2,0)</f>
        <v>Morocco</v>
      </c>
      <c r="H337" s="13" t="n">
        <v>46</v>
      </c>
      <c r="I337" s="13" t="n">
        <v>285200</v>
      </c>
      <c r="J337" s="0" t="s">
        <v>12</v>
      </c>
      <c r="K337" s="0" t="s">
        <v>387</v>
      </c>
    </row>
    <row r="338" customFormat="false" ht="12.8" hidden="false" customHeight="false" outlineLevel="0" collapsed="false">
      <c r="A338" s="57" t="n">
        <v>46228</v>
      </c>
      <c r="B338" s="0" t="s">
        <v>425</v>
      </c>
      <c r="C338" s="0" t="s">
        <v>15</v>
      </c>
      <c r="D338" s="0" t="s">
        <v>92</v>
      </c>
      <c r="E338" s="58" t="str">
        <f aca="false">VLOOKUP(D338,Models!$A$2:$B$13,2,0)</f>
        <v>65-inch 4K TV</v>
      </c>
      <c r="F338" s="0" t="s">
        <v>69</v>
      </c>
      <c r="G338" s="58" t="str">
        <f aca="false">VLOOKUP(F338,Countries!$A$2:$B$11,2,0)</f>
        <v>Egypt</v>
      </c>
      <c r="H338" s="13" t="n">
        <v>5</v>
      </c>
      <c r="I338" s="13" t="n">
        <v>99000</v>
      </c>
      <c r="J338" s="0" t="s">
        <v>12</v>
      </c>
      <c r="K338" s="0" t="s">
        <v>387</v>
      </c>
    </row>
    <row r="339" customFormat="false" ht="12.8" hidden="false" customHeight="false" outlineLevel="0" collapsed="false">
      <c r="A339" s="57" t="n">
        <v>46228</v>
      </c>
      <c r="B339" s="0" t="s">
        <v>426</v>
      </c>
      <c r="C339" s="0" t="s">
        <v>15</v>
      </c>
      <c r="D339" s="0" t="s">
        <v>81</v>
      </c>
      <c r="E339" s="58" t="str">
        <f aca="false">VLOOKUP(D339,Models!$A$2:$B$13,2,0)</f>
        <v>43-inch Smart TV</v>
      </c>
      <c r="F339" s="0" t="s">
        <v>69</v>
      </c>
      <c r="G339" s="58" t="str">
        <f aca="false">VLOOKUP(F339,Countries!$A$2:$B$11,2,0)</f>
        <v>Egypt</v>
      </c>
      <c r="H339" s="13" t="n">
        <v>18</v>
      </c>
      <c r="I339" s="13" t="n">
        <v>140400</v>
      </c>
      <c r="J339" s="0" t="s">
        <v>12</v>
      </c>
      <c r="K339" s="0" t="s">
        <v>387</v>
      </c>
    </row>
    <row r="340" customFormat="false" ht="12.8" hidden="false" customHeight="false" outlineLevel="0" collapsed="false">
      <c r="A340" s="57" t="n">
        <v>46228</v>
      </c>
      <c r="B340" s="0" t="s">
        <v>427</v>
      </c>
      <c r="C340" s="0" t="s">
        <v>17</v>
      </c>
      <c r="D340" s="0" t="s">
        <v>85</v>
      </c>
      <c r="E340" s="58" t="str">
        <f aca="false">VLOOKUP(D340,Models!$A$2:$B$13,2,0)</f>
        <v>75-inch 4K TV</v>
      </c>
      <c r="F340" s="0" t="s">
        <v>69</v>
      </c>
      <c r="G340" s="58" t="str">
        <f aca="false">VLOOKUP(F340,Countries!$A$2:$B$11,2,0)</f>
        <v>Egypt</v>
      </c>
      <c r="H340" s="13" t="n">
        <v>15</v>
      </c>
      <c r="I340" s="13" t="n">
        <v>468000</v>
      </c>
      <c r="J340" s="0" t="s">
        <v>12</v>
      </c>
      <c r="K340" s="0" t="s">
        <v>387</v>
      </c>
    </row>
    <row r="341" customFormat="false" ht="12.8" hidden="false" customHeight="false" outlineLevel="0" collapsed="false">
      <c r="A341" s="57" t="n">
        <v>46228</v>
      </c>
      <c r="B341" s="0" t="s">
        <v>428</v>
      </c>
      <c r="C341" s="0" t="s">
        <v>17</v>
      </c>
      <c r="D341" s="0" t="s">
        <v>81</v>
      </c>
      <c r="E341" s="58" t="str">
        <f aca="false">VLOOKUP(D341,Models!$A$2:$B$13,2,0)</f>
        <v>43-inch Smart TV</v>
      </c>
      <c r="F341" s="0" t="s">
        <v>72</v>
      </c>
      <c r="G341" s="58" t="str">
        <f aca="false">VLOOKUP(F341,Countries!$A$2:$B$11,2,0)</f>
        <v>Kenya</v>
      </c>
      <c r="H341" s="13" t="n">
        <v>26</v>
      </c>
      <c r="I341" s="13" t="n">
        <v>202800</v>
      </c>
      <c r="J341" s="0" t="s">
        <v>12</v>
      </c>
      <c r="K341" s="0" t="s">
        <v>387</v>
      </c>
    </row>
    <row r="342" customFormat="false" ht="12.8" hidden="false" customHeight="false" outlineLevel="0" collapsed="false">
      <c r="A342" s="57" t="n">
        <v>46228</v>
      </c>
      <c r="B342" s="0" t="s">
        <v>429</v>
      </c>
      <c r="C342" s="0" t="s">
        <v>19</v>
      </c>
      <c r="D342" s="0" t="s">
        <v>95</v>
      </c>
      <c r="E342" s="58" t="str">
        <f aca="false">VLOOKUP(D342,Models!$A$2:$B$13,2,0)</f>
        <v>32-inch HD TV</v>
      </c>
      <c r="F342" s="0" t="s">
        <v>69</v>
      </c>
      <c r="G342" s="58" t="str">
        <f aca="false">VLOOKUP(F342,Countries!$A$2:$B$11,2,0)</f>
        <v>Egypt</v>
      </c>
      <c r="H342" s="13" t="n">
        <v>56</v>
      </c>
      <c r="I342" s="13" t="n">
        <v>218400</v>
      </c>
      <c r="J342" s="0" t="s">
        <v>12</v>
      </c>
      <c r="K342" s="0" t="s">
        <v>387</v>
      </c>
    </row>
    <row r="343" customFormat="false" ht="12.8" hidden="false" customHeight="false" outlineLevel="0" collapsed="false">
      <c r="A343" s="57" t="n">
        <v>46228</v>
      </c>
      <c r="B343" s="0" t="s">
        <v>430</v>
      </c>
      <c r="C343" s="0" t="s">
        <v>19</v>
      </c>
      <c r="D343" s="0" t="s">
        <v>90</v>
      </c>
      <c r="E343" s="58" t="str">
        <f aca="false">VLOOKUP(D343,Models!$A$2:$B$13,2,0)</f>
        <v>55-inch 4K TV</v>
      </c>
      <c r="F343" s="0" t="s">
        <v>69</v>
      </c>
      <c r="G343" s="58" t="str">
        <f aca="false">VLOOKUP(F343,Countries!$A$2:$B$11,2,0)</f>
        <v>Egypt</v>
      </c>
      <c r="H343" s="13" t="n">
        <v>7</v>
      </c>
      <c r="I343" s="13" t="n">
        <v>86100</v>
      </c>
      <c r="J343" s="0" t="s">
        <v>12</v>
      </c>
      <c r="K343" s="0" t="s">
        <v>387</v>
      </c>
    </row>
    <row r="344" customFormat="false" ht="12.8" hidden="false" customHeight="false" outlineLevel="0" collapsed="false">
      <c r="A344" s="57" t="n">
        <v>46228</v>
      </c>
      <c r="B344" s="0" t="s">
        <v>431</v>
      </c>
      <c r="C344" s="0" t="s">
        <v>19</v>
      </c>
      <c r="D344" s="0" t="s">
        <v>90</v>
      </c>
      <c r="E344" s="58" t="str">
        <f aca="false">VLOOKUP(D344,Models!$A$2:$B$13,2,0)</f>
        <v>55-inch 4K TV</v>
      </c>
      <c r="F344" s="0" t="s">
        <v>69</v>
      </c>
      <c r="G344" s="58" t="str">
        <f aca="false">VLOOKUP(F344,Countries!$A$2:$B$11,2,0)</f>
        <v>Egypt</v>
      </c>
      <c r="H344" s="13" t="n">
        <v>16</v>
      </c>
      <c r="I344" s="13" t="n">
        <v>196800</v>
      </c>
      <c r="J344" s="0" t="s">
        <v>12</v>
      </c>
      <c r="K344" s="0" t="s">
        <v>387</v>
      </c>
    </row>
    <row r="345" customFormat="false" ht="12.8" hidden="false" customHeight="false" outlineLevel="0" collapsed="false">
      <c r="A345" s="57" t="n">
        <v>46228</v>
      </c>
      <c r="B345" s="0" t="s">
        <v>432</v>
      </c>
      <c r="C345" s="0" t="s">
        <v>20</v>
      </c>
      <c r="D345" s="0" t="s">
        <v>81</v>
      </c>
      <c r="E345" s="58" t="str">
        <f aca="false">VLOOKUP(D345,Models!$A$2:$B$13,2,0)</f>
        <v>43-inch Smart TV</v>
      </c>
      <c r="F345" s="0" t="s">
        <v>69</v>
      </c>
      <c r="G345" s="58" t="str">
        <f aca="false">VLOOKUP(F345,Countries!$A$2:$B$11,2,0)</f>
        <v>Egypt</v>
      </c>
      <c r="H345" s="13" t="n">
        <v>13</v>
      </c>
      <c r="I345" s="13" t="n">
        <v>101400</v>
      </c>
      <c r="J345" s="0" t="s">
        <v>12</v>
      </c>
      <c r="K345" s="0" t="s">
        <v>387</v>
      </c>
    </row>
    <row r="346" customFormat="false" ht="12.8" hidden="false" customHeight="false" outlineLevel="0" collapsed="false">
      <c r="A346" s="57" t="n">
        <v>46228</v>
      </c>
      <c r="B346" s="0" t="s">
        <v>433</v>
      </c>
      <c r="C346" s="0" t="s">
        <v>20</v>
      </c>
      <c r="D346" s="0" t="s">
        <v>95</v>
      </c>
      <c r="E346" s="58" t="str">
        <f aca="false">VLOOKUP(D346,Models!$A$2:$B$13,2,0)</f>
        <v>32-inch HD TV</v>
      </c>
      <c r="F346" s="0" t="s">
        <v>83</v>
      </c>
      <c r="G346" s="58" t="str">
        <f aca="false">VLOOKUP(F346,Countries!$A$2:$B$11,2,0)</f>
        <v>United Arab Emirates</v>
      </c>
      <c r="H346" s="13" t="n">
        <v>39</v>
      </c>
      <c r="I346" s="13" t="n">
        <v>152100</v>
      </c>
      <c r="J346" s="0" t="s">
        <v>12</v>
      </c>
      <c r="K346" s="0" t="s">
        <v>387</v>
      </c>
    </row>
    <row r="347" customFormat="false" ht="12.8" hidden="false" customHeight="false" outlineLevel="0" collapsed="false">
      <c r="A347" s="57" t="n">
        <v>46228</v>
      </c>
      <c r="B347" s="0" t="s">
        <v>434</v>
      </c>
      <c r="C347" s="0" t="s">
        <v>21</v>
      </c>
      <c r="D347" s="0" t="s">
        <v>68</v>
      </c>
      <c r="E347" s="58" t="str">
        <f aca="false">VLOOKUP(D347,Models!$A$2:$B$13,2,0)</f>
        <v>50-inch 4K TV</v>
      </c>
      <c r="F347" s="0" t="s">
        <v>69</v>
      </c>
      <c r="G347" s="58" t="str">
        <f aca="false">VLOOKUP(F347,Countries!$A$2:$B$11,2,0)</f>
        <v>Egypt</v>
      </c>
      <c r="H347" s="13" t="n">
        <v>25</v>
      </c>
      <c r="I347" s="13" t="n">
        <v>260000</v>
      </c>
      <c r="J347" s="0" t="s">
        <v>12</v>
      </c>
      <c r="K347" s="0" t="s">
        <v>387</v>
      </c>
    </row>
    <row r="348" customFormat="false" ht="12.8" hidden="false" customHeight="false" outlineLevel="0" collapsed="false">
      <c r="A348" s="57" t="n">
        <v>46229</v>
      </c>
      <c r="B348" s="0" t="s">
        <v>435</v>
      </c>
      <c r="C348" s="0" t="s">
        <v>13</v>
      </c>
      <c r="D348" s="0" t="s">
        <v>109</v>
      </c>
      <c r="E348" s="58" t="str">
        <f aca="false">VLOOKUP(D348,Models!$A$2:$B$13,2,0)</f>
        <v>55-inch QLED TV</v>
      </c>
      <c r="F348" s="0" t="s">
        <v>69</v>
      </c>
      <c r="G348" s="58" t="str">
        <f aca="false">VLOOKUP(F348,Countries!$A$2:$B$11,2,0)</f>
        <v>Egypt</v>
      </c>
      <c r="H348" s="13" t="n">
        <v>29</v>
      </c>
      <c r="I348" s="13" t="n">
        <v>452400</v>
      </c>
      <c r="J348" s="0" t="s">
        <v>12</v>
      </c>
      <c r="K348" s="0" t="s">
        <v>387</v>
      </c>
    </row>
    <row r="349" customFormat="false" ht="12.8" hidden="false" customHeight="false" outlineLevel="0" collapsed="false">
      <c r="A349" s="57" t="n">
        <v>46229</v>
      </c>
      <c r="B349" s="0" t="s">
        <v>436</v>
      </c>
      <c r="C349" s="0" t="s">
        <v>13</v>
      </c>
      <c r="D349" s="0" t="s">
        <v>95</v>
      </c>
      <c r="E349" s="58" t="str">
        <f aca="false">VLOOKUP(D349,Models!$A$2:$B$13,2,0)</f>
        <v>32-inch HD TV</v>
      </c>
      <c r="F349" s="0" t="s">
        <v>72</v>
      </c>
      <c r="G349" s="58" t="str">
        <f aca="false">VLOOKUP(F349,Countries!$A$2:$B$11,2,0)</f>
        <v>Kenya</v>
      </c>
      <c r="H349" s="13" t="n">
        <v>41</v>
      </c>
      <c r="I349" s="13" t="n">
        <v>159900</v>
      </c>
      <c r="J349" s="0" t="s">
        <v>12</v>
      </c>
      <c r="K349" s="0" t="s">
        <v>387</v>
      </c>
    </row>
    <row r="350" customFormat="false" ht="12.8" hidden="false" customHeight="false" outlineLevel="0" collapsed="false">
      <c r="A350" s="57" t="n">
        <v>46229</v>
      </c>
      <c r="B350" s="0" t="s">
        <v>437</v>
      </c>
      <c r="C350" s="0" t="s">
        <v>13</v>
      </c>
      <c r="D350" s="0" t="s">
        <v>64</v>
      </c>
      <c r="E350" s="58" t="str">
        <f aca="false">VLOOKUP(D350,Models!$A$2:$B$13,2,0)</f>
        <v>32-inch Smart TV</v>
      </c>
      <c r="F350" s="0" t="s">
        <v>69</v>
      </c>
      <c r="G350" s="58" t="str">
        <f aca="false">VLOOKUP(F350,Countries!$A$2:$B$11,2,0)</f>
        <v>Egypt</v>
      </c>
      <c r="H350" s="13" t="n">
        <v>49</v>
      </c>
      <c r="I350" s="13" t="n">
        <v>225400</v>
      </c>
      <c r="J350" s="0" t="s">
        <v>12</v>
      </c>
      <c r="K350" s="0" t="s">
        <v>387</v>
      </c>
    </row>
    <row r="351" customFormat="false" ht="12.8" hidden="false" customHeight="false" outlineLevel="0" collapsed="false">
      <c r="A351" s="57" t="n">
        <v>46229</v>
      </c>
      <c r="B351" s="0" t="s">
        <v>438</v>
      </c>
      <c r="C351" s="0" t="s">
        <v>13</v>
      </c>
      <c r="D351" s="0" t="s">
        <v>81</v>
      </c>
      <c r="E351" s="58" t="str">
        <f aca="false">VLOOKUP(D351,Models!$A$2:$B$13,2,0)</f>
        <v>43-inch Smart TV</v>
      </c>
      <c r="F351" s="0" t="s">
        <v>69</v>
      </c>
      <c r="G351" s="58" t="str">
        <f aca="false">VLOOKUP(F351,Countries!$A$2:$B$11,2,0)</f>
        <v>Egypt</v>
      </c>
      <c r="H351" s="13" t="n">
        <v>44</v>
      </c>
      <c r="I351" s="13" t="n">
        <v>343200</v>
      </c>
      <c r="J351" s="0" t="s">
        <v>12</v>
      </c>
      <c r="K351" s="0" t="s">
        <v>387</v>
      </c>
    </row>
    <row r="352" customFormat="false" ht="12.8" hidden="false" customHeight="false" outlineLevel="0" collapsed="false">
      <c r="A352" s="57" t="n">
        <v>46229</v>
      </c>
      <c r="B352" s="0" t="s">
        <v>439</v>
      </c>
      <c r="C352" s="0" t="s">
        <v>13</v>
      </c>
      <c r="D352" s="0" t="s">
        <v>85</v>
      </c>
      <c r="E352" s="58" t="str">
        <f aca="false">VLOOKUP(D352,Models!$A$2:$B$13,2,0)</f>
        <v>75-inch 4K TV</v>
      </c>
      <c r="F352" s="0" t="s">
        <v>101</v>
      </c>
      <c r="G352" s="58" t="str">
        <f aca="false">VLOOKUP(F352,Countries!$A$2:$B$11,2,0)</f>
        <v>Kuwait</v>
      </c>
      <c r="H352" s="13" t="n">
        <v>8</v>
      </c>
      <c r="I352" s="13" t="n">
        <v>249600</v>
      </c>
      <c r="J352" s="0" t="s">
        <v>12</v>
      </c>
      <c r="K352" s="0" t="s">
        <v>387</v>
      </c>
    </row>
    <row r="353" customFormat="false" ht="12.8" hidden="false" customHeight="false" outlineLevel="0" collapsed="false">
      <c r="A353" s="57" t="n">
        <v>46229</v>
      </c>
      <c r="B353" s="0" t="s">
        <v>440</v>
      </c>
      <c r="C353" s="0" t="s">
        <v>13</v>
      </c>
      <c r="D353" s="0" t="s">
        <v>71</v>
      </c>
      <c r="E353" s="58" t="str">
        <f aca="false">VLOOKUP(D353,Models!$A$2:$B$13,2,0)</f>
        <v>43-inch Full HD TV</v>
      </c>
      <c r="F353" s="0" t="s">
        <v>69</v>
      </c>
      <c r="G353" s="58" t="str">
        <f aca="false">VLOOKUP(F353,Countries!$A$2:$B$11,2,0)</f>
        <v>Egypt</v>
      </c>
      <c r="H353" s="13" t="n">
        <v>26</v>
      </c>
      <c r="I353" s="13" t="n">
        <v>179400</v>
      </c>
      <c r="J353" s="0" t="s">
        <v>12</v>
      </c>
      <c r="K353" s="0" t="s">
        <v>387</v>
      </c>
    </row>
    <row r="354" customFormat="false" ht="12.8" hidden="false" customHeight="false" outlineLevel="0" collapsed="false">
      <c r="A354" s="57" t="n">
        <v>46229</v>
      </c>
      <c r="B354" s="0" t="s">
        <v>441</v>
      </c>
      <c r="C354" s="0" t="s">
        <v>15</v>
      </c>
      <c r="D354" s="0" t="s">
        <v>68</v>
      </c>
      <c r="E354" s="58" t="str">
        <f aca="false">VLOOKUP(D354,Models!$A$2:$B$13,2,0)</f>
        <v>50-inch 4K TV</v>
      </c>
      <c r="F354" s="0" t="s">
        <v>69</v>
      </c>
      <c r="G354" s="58" t="str">
        <f aca="false">VLOOKUP(F354,Countries!$A$2:$B$11,2,0)</f>
        <v>Egypt</v>
      </c>
      <c r="H354" s="13" t="n">
        <v>26</v>
      </c>
      <c r="I354" s="13" t="n">
        <v>270400</v>
      </c>
      <c r="J354" s="0" t="s">
        <v>12</v>
      </c>
      <c r="K354" s="0" t="s">
        <v>387</v>
      </c>
    </row>
    <row r="355" customFormat="false" ht="12.8" hidden="false" customHeight="false" outlineLevel="0" collapsed="false">
      <c r="A355" s="57" t="n">
        <v>46229</v>
      </c>
      <c r="B355" s="0" t="s">
        <v>442</v>
      </c>
      <c r="C355" s="0" t="s">
        <v>15</v>
      </c>
      <c r="D355" s="0" t="s">
        <v>109</v>
      </c>
      <c r="E355" s="58" t="str">
        <f aca="false">VLOOKUP(D355,Models!$A$2:$B$13,2,0)</f>
        <v>55-inch QLED TV</v>
      </c>
      <c r="F355" s="0" t="s">
        <v>69</v>
      </c>
      <c r="G355" s="58" t="str">
        <f aca="false">VLOOKUP(F355,Countries!$A$2:$B$11,2,0)</f>
        <v>Egypt</v>
      </c>
      <c r="H355" s="13" t="n">
        <v>13</v>
      </c>
      <c r="I355" s="13" t="n">
        <v>202800</v>
      </c>
      <c r="J355" s="0" t="s">
        <v>12</v>
      </c>
      <c r="K355" s="0" t="s">
        <v>387</v>
      </c>
    </row>
    <row r="356" customFormat="false" ht="12.8" hidden="false" customHeight="false" outlineLevel="0" collapsed="false">
      <c r="A356" s="57" t="n">
        <v>46229</v>
      </c>
      <c r="B356" s="0" t="s">
        <v>443</v>
      </c>
      <c r="C356" s="0" t="s">
        <v>15</v>
      </c>
      <c r="D356" s="0" t="s">
        <v>95</v>
      </c>
      <c r="E356" s="58" t="str">
        <f aca="false">VLOOKUP(D356,Models!$A$2:$B$13,2,0)</f>
        <v>32-inch HD TV</v>
      </c>
      <c r="F356" s="0" t="s">
        <v>177</v>
      </c>
      <c r="G356" s="58" t="str">
        <f aca="false">VLOOKUP(F356,Countries!$A$2:$B$11,2,0)</f>
        <v>Saudi Arabia</v>
      </c>
      <c r="H356" s="13" t="n">
        <v>41</v>
      </c>
      <c r="I356" s="13" t="n">
        <v>159900</v>
      </c>
      <c r="J356" s="0" t="s">
        <v>12</v>
      </c>
      <c r="K356" s="0" t="s">
        <v>387</v>
      </c>
    </row>
    <row r="357" customFormat="false" ht="12.8" hidden="false" customHeight="false" outlineLevel="0" collapsed="false">
      <c r="A357" s="57" t="n">
        <v>46229</v>
      </c>
      <c r="B357" s="0" t="s">
        <v>444</v>
      </c>
      <c r="C357" s="0" t="s">
        <v>17</v>
      </c>
      <c r="D357" s="0" t="s">
        <v>92</v>
      </c>
      <c r="E357" s="58" t="str">
        <f aca="false">VLOOKUP(D357,Models!$A$2:$B$13,2,0)</f>
        <v>65-inch 4K TV</v>
      </c>
      <c r="F357" s="0" t="s">
        <v>69</v>
      </c>
      <c r="G357" s="58" t="str">
        <f aca="false">VLOOKUP(F357,Countries!$A$2:$B$11,2,0)</f>
        <v>Egypt</v>
      </c>
      <c r="H357" s="13" t="n">
        <v>6</v>
      </c>
      <c r="I357" s="13" t="n">
        <v>118800</v>
      </c>
      <c r="J357" s="0" t="s">
        <v>12</v>
      </c>
      <c r="K357" s="0" t="s">
        <v>387</v>
      </c>
    </row>
    <row r="358" customFormat="false" ht="12.8" hidden="false" customHeight="false" outlineLevel="0" collapsed="false">
      <c r="A358" s="57" t="n">
        <v>46229</v>
      </c>
      <c r="B358" s="0" t="s">
        <v>445</v>
      </c>
      <c r="C358" s="0" t="s">
        <v>19</v>
      </c>
      <c r="D358" s="0" t="s">
        <v>77</v>
      </c>
      <c r="E358" s="58" t="str">
        <f aca="false">VLOOKUP(D358,Models!$A$2:$B$13,2,0)</f>
        <v>65-inch QLED TV</v>
      </c>
      <c r="F358" s="0" t="s">
        <v>72</v>
      </c>
      <c r="G358" s="58" t="str">
        <f aca="false">VLOOKUP(F358,Countries!$A$2:$B$11,2,0)</f>
        <v>Kenya</v>
      </c>
      <c r="H358" s="13" t="n">
        <v>17</v>
      </c>
      <c r="I358" s="13" t="n">
        <v>416500</v>
      </c>
      <c r="J358" s="0" t="s">
        <v>12</v>
      </c>
      <c r="K358" s="0" t="s">
        <v>387</v>
      </c>
    </row>
    <row r="359" customFormat="false" ht="12.8" hidden="false" customHeight="false" outlineLevel="0" collapsed="false">
      <c r="A359" s="57" t="n">
        <v>46229</v>
      </c>
      <c r="B359" s="0" t="s">
        <v>446</v>
      </c>
      <c r="C359" s="0" t="s">
        <v>19</v>
      </c>
      <c r="D359" s="0" t="s">
        <v>88</v>
      </c>
      <c r="E359" s="58" t="str">
        <f aca="false">VLOOKUP(D359,Models!$A$2:$B$13,2,0)</f>
        <v>24-inch HD TV</v>
      </c>
      <c r="F359" s="0" t="s">
        <v>98</v>
      </c>
      <c r="G359" s="58" t="str">
        <f aca="false">VLOOKUP(F359,Countries!$A$2:$B$11,2,0)</f>
        <v>Libya</v>
      </c>
      <c r="H359" s="13" t="n">
        <v>14</v>
      </c>
      <c r="I359" s="13" t="n">
        <v>40600</v>
      </c>
      <c r="J359" s="0" t="s">
        <v>12</v>
      </c>
      <c r="K359" s="0" t="s">
        <v>387</v>
      </c>
    </row>
    <row r="360" customFormat="false" ht="12.8" hidden="false" customHeight="false" outlineLevel="0" collapsed="false">
      <c r="A360" s="57" t="n">
        <v>46229</v>
      </c>
      <c r="B360" s="0" t="s">
        <v>447</v>
      </c>
      <c r="C360" s="0" t="s">
        <v>19</v>
      </c>
      <c r="D360" s="0" t="s">
        <v>71</v>
      </c>
      <c r="E360" s="58" t="str">
        <f aca="false">VLOOKUP(D360,Models!$A$2:$B$13,2,0)</f>
        <v>43-inch Full HD TV</v>
      </c>
      <c r="F360" s="0" t="s">
        <v>69</v>
      </c>
      <c r="G360" s="58" t="str">
        <f aca="false">VLOOKUP(F360,Countries!$A$2:$B$11,2,0)</f>
        <v>Egypt</v>
      </c>
      <c r="H360" s="13" t="n">
        <v>48</v>
      </c>
      <c r="I360" s="13" t="n">
        <v>331200</v>
      </c>
      <c r="J360" s="0" t="s">
        <v>12</v>
      </c>
      <c r="K360" s="0" t="s">
        <v>387</v>
      </c>
    </row>
    <row r="361" customFormat="false" ht="12.8" hidden="false" customHeight="false" outlineLevel="0" collapsed="false">
      <c r="A361" s="57" t="n">
        <v>46229</v>
      </c>
      <c r="B361" s="0" t="s">
        <v>448</v>
      </c>
      <c r="C361" s="0" t="s">
        <v>20</v>
      </c>
      <c r="D361" s="0" t="s">
        <v>77</v>
      </c>
      <c r="E361" s="58" t="str">
        <f aca="false">VLOOKUP(D361,Models!$A$2:$B$13,2,0)</f>
        <v>65-inch QLED TV</v>
      </c>
      <c r="F361" s="0" t="s">
        <v>69</v>
      </c>
      <c r="G361" s="58" t="str">
        <f aca="false">VLOOKUP(F361,Countries!$A$2:$B$11,2,0)</f>
        <v>Egypt</v>
      </c>
      <c r="H361" s="13" t="n">
        <v>12</v>
      </c>
      <c r="I361" s="13" t="n">
        <v>294000</v>
      </c>
      <c r="J361" s="0" t="s">
        <v>12</v>
      </c>
      <c r="K361" s="0" t="s">
        <v>387</v>
      </c>
    </row>
    <row r="362" customFormat="false" ht="12.8" hidden="false" customHeight="false" outlineLevel="0" collapsed="false">
      <c r="A362" s="57" t="n">
        <v>46229</v>
      </c>
      <c r="B362" s="0" t="s">
        <v>449</v>
      </c>
      <c r="C362" s="0" t="s">
        <v>20</v>
      </c>
      <c r="D362" s="0" t="s">
        <v>95</v>
      </c>
      <c r="E362" s="58" t="str">
        <f aca="false">VLOOKUP(D362,Models!$A$2:$B$13,2,0)</f>
        <v>32-inch HD TV</v>
      </c>
      <c r="F362" s="0" t="s">
        <v>65</v>
      </c>
      <c r="G362" s="58" t="str">
        <f aca="false">VLOOKUP(F362,Countries!$A$2:$B$11,2,0)</f>
        <v>Jordan</v>
      </c>
      <c r="H362" s="13" t="n">
        <v>25</v>
      </c>
      <c r="I362" s="13" t="n">
        <v>97500</v>
      </c>
      <c r="J362" s="0" t="s">
        <v>12</v>
      </c>
      <c r="K362" s="0" t="s">
        <v>387</v>
      </c>
    </row>
    <row r="363" customFormat="false" ht="12.8" hidden="false" customHeight="false" outlineLevel="0" collapsed="false">
      <c r="A363" s="57" t="n">
        <v>46229</v>
      </c>
      <c r="B363" s="0" t="s">
        <v>450</v>
      </c>
      <c r="C363" s="0" t="s">
        <v>20</v>
      </c>
      <c r="D363" s="0" t="s">
        <v>90</v>
      </c>
      <c r="E363" s="58" t="str">
        <f aca="false">VLOOKUP(D363,Models!$A$2:$B$13,2,0)</f>
        <v>55-inch 4K TV</v>
      </c>
      <c r="F363" s="0" t="s">
        <v>79</v>
      </c>
      <c r="G363" s="58" t="str">
        <f aca="false">VLOOKUP(F363,Countries!$A$2:$B$11,2,0)</f>
        <v>Iraq</v>
      </c>
      <c r="H363" s="13" t="n">
        <v>20</v>
      </c>
      <c r="I363" s="13" t="n">
        <v>246000</v>
      </c>
      <c r="J363" s="0" t="s">
        <v>12</v>
      </c>
      <c r="K363" s="0" t="s">
        <v>387</v>
      </c>
    </row>
    <row r="364" customFormat="false" ht="12.8" hidden="false" customHeight="false" outlineLevel="0" collapsed="false">
      <c r="A364" s="57" t="n">
        <v>46229</v>
      </c>
      <c r="B364" s="0" t="s">
        <v>451</v>
      </c>
      <c r="C364" s="0" t="s">
        <v>20</v>
      </c>
      <c r="D364" s="0" t="s">
        <v>71</v>
      </c>
      <c r="E364" s="58" t="str">
        <f aca="false">VLOOKUP(D364,Models!$A$2:$B$13,2,0)</f>
        <v>43-inch Full HD TV</v>
      </c>
      <c r="F364" s="0" t="s">
        <v>83</v>
      </c>
      <c r="G364" s="58" t="str">
        <f aca="false">VLOOKUP(F364,Countries!$A$2:$B$11,2,0)</f>
        <v>United Arab Emirates</v>
      </c>
      <c r="H364" s="13" t="n">
        <v>29</v>
      </c>
      <c r="I364" s="13" t="n">
        <v>200100</v>
      </c>
      <c r="J364" s="0" t="s">
        <v>12</v>
      </c>
      <c r="K364" s="0" t="s">
        <v>387</v>
      </c>
    </row>
    <row r="365" customFormat="false" ht="12.8" hidden="false" customHeight="false" outlineLevel="0" collapsed="false">
      <c r="A365" s="57" t="n">
        <v>46229</v>
      </c>
      <c r="B365" s="0" t="s">
        <v>452</v>
      </c>
      <c r="C365" s="0" t="s">
        <v>21</v>
      </c>
      <c r="D365" s="0" t="s">
        <v>68</v>
      </c>
      <c r="E365" s="58" t="str">
        <f aca="false">VLOOKUP(D365,Models!$A$2:$B$13,2,0)</f>
        <v>50-inch 4K TV</v>
      </c>
      <c r="F365" s="0" t="s">
        <v>69</v>
      </c>
      <c r="G365" s="58" t="str">
        <f aca="false">VLOOKUP(F365,Countries!$A$2:$B$11,2,0)</f>
        <v>Egypt</v>
      </c>
      <c r="H365" s="13" t="n">
        <v>7</v>
      </c>
      <c r="I365" s="13" t="n">
        <v>72800</v>
      </c>
      <c r="J365" s="0" t="s">
        <v>12</v>
      </c>
      <c r="K365" s="0" t="s">
        <v>387</v>
      </c>
    </row>
    <row r="366" customFormat="false" ht="12.8" hidden="false" customHeight="false" outlineLevel="0" collapsed="false">
      <c r="A366" s="57" t="n">
        <v>46229</v>
      </c>
      <c r="B366" s="0" t="s">
        <v>453</v>
      </c>
      <c r="C366" s="0" t="s">
        <v>21</v>
      </c>
      <c r="D366" s="0" t="s">
        <v>109</v>
      </c>
      <c r="E366" s="58" t="str">
        <f aca="false">VLOOKUP(D366,Models!$A$2:$B$13,2,0)</f>
        <v>55-inch QLED TV</v>
      </c>
      <c r="F366" s="0" t="s">
        <v>101</v>
      </c>
      <c r="G366" s="58" t="str">
        <f aca="false">VLOOKUP(F366,Countries!$A$2:$B$11,2,0)</f>
        <v>Kuwait</v>
      </c>
      <c r="H366" s="13" t="n">
        <v>9</v>
      </c>
      <c r="I366" s="13" t="n">
        <v>140400</v>
      </c>
      <c r="J366" s="0" t="s">
        <v>12</v>
      </c>
      <c r="K366" s="0" t="s">
        <v>387</v>
      </c>
    </row>
    <row r="367" customFormat="false" ht="12.8" hidden="false" customHeight="false" outlineLevel="0" collapsed="false">
      <c r="A367" s="57" t="n">
        <v>46230</v>
      </c>
      <c r="B367" s="0" t="s">
        <v>454</v>
      </c>
      <c r="C367" s="0" t="s">
        <v>13</v>
      </c>
      <c r="D367" s="0" t="s">
        <v>92</v>
      </c>
      <c r="E367" s="58" t="str">
        <f aca="false">VLOOKUP(D367,Models!$A$2:$B$13,2,0)</f>
        <v>65-inch 4K TV</v>
      </c>
      <c r="F367" s="0" t="s">
        <v>69</v>
      </c>
      <c r="G367" s="58" t="str">
        <f aca="false">VLOOKUP(F367,Countries!$A$2:$B$11,2,0)</f>
        <v>Egypt</v>
      </c>
      <c r="H367" s="13" t="n">
        <v>12</v>
      </c>
      <c r="I367" s="13" t="n">
        <v>237600</v>
      </c>
      <c r="J367" s="0" t="s">
        <v>12</v>
      </c>
      <c r="K367" s="0" t="s">
        <v>387</v>
      </c>
    </row>
    <row r="368" customFormat="false" ht="12.8" hidden="false" customHeight="false" outlineLevel="0" collapsed="false">
      <c r="A368" s="57" t="n">
        <v>46230</v>
      </c>
      <c r="B368" s="0" t="s">
        <v>455</v>
      </c>
      <c r="C368" s="0" t="s">
        <v>13</v>
      </c>
      <c r="D368" s="0" t="s">
        <v>74</v>
      </c>
      <c r="E368" s="58" t="str">
        <f aca="false">VLOOKUP(D368,Models!$A$2:$B$13,2,0)</f>
        <v>40-inch Full HD TV</v>
      </c>
      <c r="F368" s="0" t="s">
        <v>69</v>
      </c>
      <c r="G368" s="58" t="str">
        <f aca="false">VLOOKUP(F368,Countries!$A$2:$B$11,2,0)</f>
        <v>Egypt</v>
      </c>
      <c r="H368" s="13" t="n">
        <v>18</v>
      </c>
      <c r="I368" s="13" t="n">
        <v>111600</v>
      </c>
      <c r="J368" s="0" t="s">
        <v>12</v>
      </c>
      <c r="K368" s="0" t="s">
        <v>387</v>
      </c>
    </row>
    <row r="369" customFormat="false" ht="12.8" hidden="false" customHeight="false" outlineLevel="0" collapsed="false">
      <c r="A369" s="57" t="n">
        <v>46230</v>
      </c>
      <c r="B369" s="0" t="s">
        <v>456</v>
      </c>
      <c r="C369" s="0" t="s">
        <v>15</v>
      </c>
      <c r="D369" s="0" t="s">
        <v>68</v>
      </c>
      <c r="E369" s="58" t="str">
        <f aca="false">VLOOKUP(D369,Models!$A$2:$B$13,2,0)</f>
        <v>50-inch 4K TV</v>
      </c>
      <c r="F369" s="0" t="s">
        <v>69</v>
      </c>
      <c r="G369" s="58" t="str">
        <f aca="false">VLOOKUP(F369,Countries!$A$2:$B$11,2,0)</f>
        <v>Egypt</v>
      </c>
      <c r="H369" s="13" t="n">
        <v>5</v>
      </c>
      <c r="I369" s="13" t="n">
        <v>52000</v>
      </c>
      <c r="J369" s="0" t="s">
        <v>12</v>
      </c>
      <c r="K369" s="0" t="s">
        <v>387</v>
      </c>
    </row>
    <row r="370" customFormat="false" ht="12.8" hidden="false" customHeight="false" outlineLevel="0" collapsed="false">
      <c r="A370" s="57" t="n">
        <v>46230</v>
      </c>
      <c r="B370" s="0" t="s">
        <v>457</v>
      </c>
      <c r="C370" s="0" t="s">
        <v>15</v>
      </c>
      <c r="D370" s="0" t="s">
        <v>68</v>
      </c>
      <c r="E370" s="58" t="str">
        <f aca="false">VLOOKUP(D370,Models!$A$2:$B$13,2,0)</f>
        <v>50-inch 4K TV</v>
      </c>
      <c r="F370" s="0" t="s">
        <v>69</v>
      </c>
      <c r="G370" s="58" t="str">
        <f aca="false">VLOOKUP(F370,Countries!$A$2:$B$11,2,0)</f>
        <v>Egypt</v>
      </c>
      <c r="H370" s="13" t="n">
        <v>18</v>
      </c>
      <c r="I370" s="13" t="n">
        <v>187200</v>
      </c>
      <c r="J370" s="0" t="s">
        <v>12</v>
      </c>
      <c r="K370" s="0" t="s">
        <v>387</v>
      </c>
    </row>
    <row r="371" customFormat="false" ht="12.8" hidden="false" customHeight="false" outlineLevel="0" collapsed="false">
      <c r="A371" s="57" t="n">
        <v>46230</v>
      </c>
      <c r="B371" s="0" t="s">
        <v>458</v>
      </c>
      <c r="C371" s="0" t="s">
        <v>15</v>
      </c>
      <c r="D371" s="0" t="s">
        <v>77</v>
      </c>
      <c r="E371" s="58" t="str">
        <f aca="false">VLOOKUP(D371,Models!$A$2:$B$13,2,0)</f>
        <v>65-inch QLED TV</v>
      </c>
      <c r="F371" s="0" t="s">
        <v>69</v>
      </c>
      <c r="G371" s="58" t="str">
        <f aca="false">VLOOKUP(F371,Countries!$A$2:$B$11,2,0)</f>
        <v>Egypt</v>
      </c>
      <c r="H371" s="13" t="n">
        <v>18</v>
      </c>
      <c r="I371" s="13" t="n">
        <v>441000</v>
      </c>
      <c r="J371" s="0" t="s">
        <v>12</v>
      </c>
      <c r="K371" s="0" t="s">
        <v>387</v>
      </c>
    </row>
    <row r="372" customFormat="false" ht="12.8" hidden="false" customHeight="false" outlineLevel="0" collapsed="false">
      <c r="A372" s="57" t="n">
        <v>46230</v>
      </c>
      <c r="B372" s="0" t="s">
        <v>459</v>
      </c>
      <c r="C372" s="0" t="s">
        <v>17</v>
      </c>
      <c r="D372" s="0" t="s">
        <v>81</v>
      </c>
      <c r="E372" s="58" t="str">
        <f aca="false">VLOOKUP(D372,Models!$A$2:$B$13,2,0)</f>
        <v>43-inch Smart TV</v>
      </c>
      <c r="F372" s="0" t="s">
        <v>69</v>
      </c>
      <c r="G372" s="58" t="str">
        <f aca="false">VLOOKUP(F372,Countries!$A$2:$B$11,2,0)</f>
        <v>Egypt</v>
      </c>
      <c r="H372" s="13" t="n">
        <v>10</v>
      </c>
      <c r="I372" s="13" t="n">
        <v>78000</v>
      </c>
      <c r="J372" s="0" t="s">
        <v>12</v>
      </c>
      <c r="K372" s="0" t="s">
        <v>387</v>
      </c>
    </row>
    <row r="373" customFormat="false" ht="12.8" hidden="false" customHeight="false" outlineLevel="0" collapsed="false">
      <c r="A373" s="57" t="n">
        <v>46230</v>
      </c>
      <c r="B373" s="0" t="s">
        <v>460</v>
      </c>
      <c r="C373" s="0" t="s">
        <v>17</v>
      </c>
      <c r="D373" s="0" t="s">
        <v>71</v>
      </c>
      <c r="E373" s="58" t="str">
        <f aca="false">VLOOKUP(D373,Models!$A$2:$B$13,2,0)</f>
        <v>43-inch Full HD TV</v>
      </c>
      <c r="F373" s="0" t="s">
        <v>101</v>
      </c>
      <c r="G373" s="58" t="str">
        <f aca="false">VLOOKUP(F373,Countries!$A$2:$B$11,2,0)</f>
        <v>Kuwait</v>
      </c>
      <c r="H373" s="13" t="n">
        <v>37</v>
      </c>
      <c r="I373" s="13" t="n">
        <v>255300</v>
      </c>
      <c r="J373" s="0" t="s">
        <v>12</v>
      </c>
      <c r="K373" s="0" t="s">
        <v>387</v>
      </c>
    </row>
    <row r="374" customFormat="false" ht="12.8" hidden="false" customHeight="false" outlineLevel="0" collapsed="false">
      <c r="A374" s="57" t="n">
        <v>46230</v>
      </c>
      <c r="B374" s="0" t="s">
        <v>461</v>
      </c>
      <c r="C374" s="0" t="s">
        <v>17</v>
      </c>
      <c r="D374" s="0" t="s">
        <v>85</v>
      </c>
      <c r="E374" s="58" t="str">
        <f aca="false">VLOOKUP(D374,Models!$A$2:$B$13,2,0)</f>
        <v>75-inch 4K TV</v>
      </c>
      <c r="F374" s="0" t="s">
        <v>98</v>
      </c>
      <c r="G374" s="58" t="str">
        <f aca="false">VLOOKUP(F374,Countries!$A$2:$B$11,2,0)</f>
        <v>Libya</v>
      </c>
      <c r="H374" s="13" t="n">
        <v>12</v>
      </c>
      <c r="I374" s="13" t="n">
        <v>374400</v>
      </c>
      <c r="J374" s="0" t="s">
        <v>12</v>
      </c>
      <c r="K374" s="0" t="s">
        <v>387</v>
      </c>
    </row>
    <row r="375" customFormat="false" ht="12.8" hidden="false" customHeight="false" outlineLevel="0" collapsed="false">
      <c r="A375" s="57" t="n">
        <v>46230</v>
      </c>
      <c r="B375" s="0" t="s">
        <v>462</v>
      </c>
      <c r="C375" s="0" t="s">
        <v>17</v>
      </c>
      <c r="D375" s="0" t="s">
        <v>64</v>
      </c>
      <c r="E375" s="58" t="str">
        <f aca="false">VLOOKUP(D375,Models!$A$2:$B$13,2,0)</f>
        <v>32-inch Smart TV</v>
      </c>
      <c r="F375" s="0" t="s">
        <v>98</v>
      </c>
      <c r="G375" s="58" t="str">
        <f aca="false">VLOOKUP(F375,Countries!$A$2:$B$11,2,0)</f>
        <v>Libya</v>
      </c>
      <c r="H375" s="13" t="n">
        <v>22</v>
      </c>
      <c r="I375" s="13" t="n">
        <v>101200</v>
      </c>
      <c r="J375" s="0" t="s">
        <v>12</v>
      </c>
      <c r="K375" s="0" t="s">
        <v>387</v>
      </c>
    </row>
    <row r="376" customFormat="false" ht="12.8" hidden="false" customHeight="false" outlineLevel="0" collapsed="false">
      <c r="A376" s="57" t="n">
        <v>46230</v>
      </c>
      <c r="B376" s="0" t="s">
        <v>463</v>
      </c>
      <c r="C376" s="0" t="s">
        <v>19</v>
      </c>
      <c r="D376" s="0" t="s">
        <v>90</v>
      </c>
      <c r="E376" s="58" t="str">
        <f aca="false">VLOOKUP(D376,Models!$A$2:$B$13,2,0)</f>
        <v>55-inch 4K TV</v>
      </c>
      <c r="F376" s="0" t="s">
        <v>69</v>
      </c>
      <c r="G376" s="58" t="str">
        <f aca="false">VLOOKUP(F376,Countries!$A$2:$B$11,2,0)</f>
        <v>Egypt</v>
      </c>
      <c r="H376" s="13" t="n">
        <v>6</v>
      </c>
      <c r="I376" s="13" t="n">
        <v>73800</v>
      </c>
      <c r="J376" s="0" t="s">
        <v>12</v>
      </c>
      <c r="K376" s="0" t="s">
        <v>387</v>
      </c>
    </row>
    <row r="377" customFormat="false" ht="12.8" hidden="false" customHeight="false" outlineLevel="0" collapsed="false">
      <c r="A377" s="57" t="n">
        <v>46230</v>
      </c>
      <c r="B377" s="0" t="s">
        <v>464</v>
      </c>
      <c r="C377" s="0" t="s">
        <v>20</v>
      </c>
      <c r="D377" s="0" t="s">
        <v>64</v>
      </c>
      <c r="E377" s="58" t="str">
        <f aca="false">VLOOKUP(D377,Models!$A$2:$B$13,2,0)</f>
        <v>32-inch Smart TV</v>
      </c>
      <c r="F377" s="0" t="s">
        <v>72</v>
      </c>
      <c r="G377" s="58" t="str">
        <f aca="false">VLOOKUP(F377,Countries!$A$2:$B$11,2,0)</f>
        <v>Kenya</v>
      </c>
      <c r="H377" s="13" t="n">
        <v>18</v>
      </c>
      <c r="I377" s="13" t="n">
        <v>82800</v>
      </c>
      <c r="J377" s="0" t="s">
        <v>12</v>
      </c>
      <c r="K377" s="0" t="s">
        <v>387</v>
      </c>
    </row>
    <row r="378" customFormat="false" ht="12.8" hidden="false" customHeight="false" outlineLevel="0" collapsed="false">
      <c r="A378" s="57" t="n">
        <v>46230</v>
      </c>
      <c r="B378" s="0" t="s">
        <v>465</v>
      </c>
      <c r="C378" s="0" t="s">
        <v>20</v>
      </c>
      <c r="D378" s="0" t="s">
        <v>68</v>
      </c>
      <c r="E378" s="58" t="str">
        <f aca="false">VLOOKUP(D378,Models!$A$2:$B$13,2,0)</f>
        <v>50-inch 4K TV</v>
      </c>
      <c r="F378" s="0" t="s">
        <v>72</v>
      </c>
      <c r="G378" s="58" t="str">
        <f aca="false">VLOOKUP(F378,Countries!$A$2:$B$11,2,0)</f>
        <v>Kenya</v>
      </c>
      <c r="H378" s="13" t="n">
        <v>26</v>
      </c>
      <c r="I378" s="13" t="n">
        <v>270400</v>
      </c>
      <c r="J378" s="0" t="s">
        <v>12</v>
      </c>
      <c r="K378" s="0" t="s">
        <v>387</v>
      </c>
    </row>
    <row r="379" customFormat="false" ht="12.8" hidden="false" customHeight="false" outlineLevel="0" collapsed="false">
      <c r="A379" s="57" t="n">
        <v>46230</v>
      </c>
      <c r="B379" s="0" t="s">
        <v>466</v>
      </c>
      <c r="C379" s="0" t="s">
        <v>20</v>
      </c>
      <c r="D379" s="0" t="s">
        <v>64</v>
      </c>
      <c r="E379" s="58" t="str">
        <f aca="false">VLOOKUP(D379,Models!$A$2:$B$13,2,0)</f>
        <v>32-inch Smart TV</v>
      </c>
      <c r="F379" s="0" t="s">
        <v>69</v>
      </c>
      <c r="G379" s="58" t="str">
        <f aca="false">VLOOKUP(F379,Countries!$A$2:$B$11,2,0)</f>
        <v>Egypt</v>
      </c>
      <c r="H379" s="13" t="n">
        <v>44</v>
      </c>
      <c r="I379" s="13" t="n">
        <v>202400</v>
      </c>
      <c r="J379" s="0" t="s">
        <v>12</v>
      </c>
      <c r="K379" s="0" t="s">
        <v>387</v>
      </c>
    </row>
    <row r="380" customFormat="false" ht="12.8" hidden="false" customHeight="false" outlineLevel="0" collapsed="false">
      <c r="A380" s="57" t="n">
        <v>46230</v>
      </c>
      <c r="B380" s="0" t="s">
        <v>467</v>
      </c>
      <c r="C380" s="0" t="s">
        <v>20</v>
      </c>
      <c r="D380" s="0" t="s">
        <v>74</v>
      </c>
      <c r="E380" s="58" t="str">
        <f aca="false">VLOOKUP(D380,Models!$A$2:$B$13,2,0)</f>
        <v>40-inch Full HD TV</v>
      </c>
      <c r="F380" s="0" t="s">
        <v>101</v>
      </c>
      <c r="G380" s="58" t="str">
        <f aca="false">VLOOKUP(F380,Countries!$A$2:$B$11,2,0)</f>
        <v>Kuwait</v>
      </c>
      <c r="H380" s="13" t="n">
        <v>22</v>
      </c>
      <c r="I380" s="13" t="n">
        <v>136400</v>
      </c>
      <c r="J380" s="0" t="s">
        <v>12</v>
      </c>
      <c r="K380" s="0" t="s">
        <v>387</v>
      </c>
    </row>
    <row r="381" customFormat="false" ht="12.8" hidden="false" customHeight="false" outlineLevel="0" collapsed="false">
      <c r="A381" s="57" t="n">
        <v>46230</v>
      </c>
      <c r="B381" s="0" t="s">
        <v>468</v>
      </c>
      <c r="C381" s="0" t="s">
        <v>21</v>
      </c>
      <c r="D381" s="0" t="s">
        <v>71</v>
      </c>
      <c r="E381" s="58" t="str">
        <f aca="false">VLOOKUP(D381,Models!$A$2:$B$13,2,0)</f>
        <v>43-inch Full HD TV</v>
      </c>
      <c r="F381" s="0" t="s">
        <v>69</v>
      </c>
      <c r="G381" s="58" t="str">
        <f aca="false">VLOOKUP(F381,Countries!$A$2:$B$11,2,0)</f>
        <v>Egypt</v>
      </c>
      <c r="H381" s="13" t="n">
        <v>43</v>
      </c>
      <c r="I381" s="13" t="n">
        <v>296700</v>
      </c>
      <c r="J381" s="0" t="s">
        <v>12</v>
      </c>
      <c r="K381" s="0" t="s">
        <v>387</v>
      </c>
    </row>
    <row r="382" customFormat="false" ht="12.8" hidden="false" customHeight="false" outlineLevel="0" collapsed="false">
      <c r="A382" s="57" t="n">
        <v>46230</v>
      </c>
      <c r="B382" s="0" t="s">
        <v>469</v>
      </c>
      <c r="C382" s="0" t="s">
        <v>21</v>
      </c>
      <c r="D382" s="0" t="s">
        <v>77</v>
      </c>
      <c r="E382" s="58" t="str">
        <f aca="false">VLOOKUP(D382,Models!$A$2:$B$13,2,0)</f>
        <v>65-inch QLED TV</v>
      </c>
      <c r="F382" s="0" t="s">
        <v>69</v>
      </c>
      <c r="G382" s="58" t="str">
        <f aca="false">VLOOKUP(F382,Countries!$A$2:$B$11,2,0)</f>
        <v>Egypt</v>
      </c>
      <c r="H382" s="13" t="n">
        <v>10</v>
      </c>
      <c r="I382" s="13" t="n">
        <v>245000</v>
      </c>
      <c r="J382" s="0" t="s">
        <v>12</v>
      </c>
      <c r="K382" s="0" t="s">
        <v>387</v>
      </c>
    </row>
    <row r="383" customFormat="false" ht="12.8" hidden="false" customHeight="false" outlineLevel="0" collapsed="false">
      <c r="A383" s="57" t="n">
        <v>46230</v>
      </c>
      <c r="B383" s="0" t="s">
        <v>470</v>
      </c>
      <c r="C383" s="0" t="s">
        <v>21</v>
      </c>
      <c r="D383" s="0" t="s">
        <v>95</v>
      </c>
      <c r="E383" s="58" t="str">
        <f aca="false">VLOOKUP(D383,Models!$A$2:$B$13,2,0)</f>
        <v>32-inch HD TV</v>
      </c>
      <c r="F383" s="0" t="s">
        <v>103</v>
      </c>
      <c r="G383" s="58" t="str">
        <f aca="false">VLOOKUP(F383,Countries!$A$2:$B$11,2,0)</f>
        <v>Morocco</v>
      </c>
      <c r="H383" s="13" t="n">
        <v>54</v>
      </c>
      <c r="I383" s="13" t="n">
        <v>210600</v>
      </c>
      <c r="J383" s="0" t="s">
        <v>12</v>
      </c>
      <c r="K383" s="0" t="s">
        <v>387</v>
      </c>
    </row>
    <row r="384" customFormat="false" ht="12.8" hidden="false" customHeight="false" outlineLevel="0" collapsed="false">
      <c r="A384" s="57" t="n">
        <v>46231</v>
      </c>
      <c r="B384" s="0" t="s">
        <v>471</v>
      </c>
      <c r="C384" s="0" t="s">
        <v>13</v>
      </c>
      <c r="D384" s="0" t="s">
        <v>85</v>
      </c>
      <c r="E384" s="58" t="str">
        <f aca="false">VLOOKUP(D384,Models!$A$2:$B$13,2,0)</f>
        <v>75-inch 4K TV</v>
      </c>
      <c r="F384" s="0" t="s">
        <v>69</v>
      </c>
      <c r="G384" s="58" t="str">
        <f aca="false">VLOOKUP(F384,Countries!$A$2:$B$11,2,0)</f>
        <v>Egypt</v>
      </c>
      <c r="H384" s="13" t="n">
        <v>14</v>
      </c>
      <c r="I384" s="13" t="n">
        <v>436800</v>
      </c>
      <c r="J384" s="0" t="s">
        <v>12</v>
      </c>
      <c r="K384" s="0" t="s">
        <v>387</v>
      </c>
    </row>
    <row r="385" customFormat="false" ht="12.8" hidden="false" customHeight="false" outlineLevel="0" collapsed="false">
      <c r="A385" s="57" t="n">
        <v>46231</v>
      </c>
      <c r="B385" s="0" t="s">
        <v>472</v>
      </c>
      <c r="C385" s="0" t="s">
        <v>13</v>
      </c>
      <c r="D385" s="0" t="s">
        <v>64</v>
      </c>
      <c r="E385" s="58" t="str">
        <f aca="false">VLOOKUP(D385,Models!$A$2:$B$13,2,0)</f>
        <v>32-inch Smart TV</v>
      </c>
      <c r="F385" s="0" t="s">
        <v>69</v>
      </c>
      <c r="G385" s="58" t="str">
        <f aca="false">VLOOKUP(F385,Countries!$A$2:$B$11,2,0)</f>
        <v>Egypt</v>
      </c>
      <c r="H385" s="13" t="n">
        <v>12</v>
      </c>
      <c r="I385" s="13" t="n">
        <v>55200</v>
      </c>
      <c r="J385" s="0" t="s">
        <v>12</v>
      </c>
      <c r="K385" s="0" t="s">
        <v>387</v>
      </c>
    </row>
    <row r="386" customFormat="false" ht="12.8" hidden="false" customHeight="false" outlineLevel="0" collapsed="false">
      <c r="A386" s="57" t="n">
        <v>46231</v>
      </c>
      <c r="B386" s="0" t="s">
        <v>473</v>
      </c>
      <c r="C386" s="0" t="s">
        <v>13</v>
      </c>
      <c r="D386" s="0" t="s">
        <v>64</v>
      </c>
      <c r="E386" s="58" t="str">
        <f aca="false">VLOOKUP(D386,Models!$A$2:$B$13,2,0)</f>
        <v>32-inch Smart TV</v>
      </c>
      <c r="F386" s="0" t="s">
        <v>69</v>
      </c>
      <c r="G386" s="58" t="str">
        <f aca="false">VLOOKUP(F386,Countries!$A$2:$B$11,2,0)</f>
        <v>Egypt</v>
      </c>
      <c r="H386" s="13" t="n">
        <v>12</v>
      </c>
      <c r="I386" s="13" t="n">
        <v>55200</v>
      </c>
      <c r="J386" s="0" t="s">
        <v>12</v>
      </c>
      <c r="K386" s="0" t="s">
        <v>387</v>
      </c>
    </row>
    <row r="387" customFormat="false" ht="12.8" hidden="false" customHeight="false" outlineLevel="0" collapsed="false">
      <c r="A387" s="57" t="n">
        <v>46231</v>
      </c>
      <c r="B387" s="0" t="s">
        <v>474</v>
      </c>
      <c r="C387" s="0" t="s">
        <v>15</v>
      </c>
      <c r="D387" s="0" t="s">
        <v>109</v>
      </c>
      <c r="E387" s="58" t="str">
        <f aca="false">VLOOKUP(D387,Models!$A$2:$B$13,2,0)</f>
        <v>55-inch QLED TV</v>
      </c>
      <c r="F387" s="0" t="s">
        <v>72</v>
      </c>
      <c r="G387" s="58" t="str">
        <f aca="false">VLOOKUP(F387,Countries!$A$2:$B$11,2,0)</f>
        <v>Kenya</v>
      </c>
      <c r="H387" s="13" t="n">
        <v>29</v>
      </c>
      <c r="I387" s="13" t="n">
        <v>452400</v>
      </c>
      <c r="J387" s="0" t="s">
        <v>12</v>
      </c>
      <c r="K387" s="0" t="s">
        <v>387</v>
      </c>
    </row>
    <row r="388" customFormat="false" ht="12.8" hidden="false" customHeight="false" outlineLevel="0" collapsed="false">
      <c r="A388" s="57" t="n">
        <v>46231</v>
      </c>
      <c r="B388" s="0" t="s">
        <v>475</v>
      </c>
      <c r="C388" s="0" t="s">
        <v>15</v>
      </c>
      <c r="D388" s="0" t="s">
        <v>71</v>
      </c>
      <c r="E388" s="58" t="str">
        <f aca="false">VLOOKUP(D388,Models!$A$2:$B$13,2,0)</f>
        <v>43-inch Full HD TV</v>
      </c>
      <c r="F388" s="0" t="s">
        <v>69</v>
      </c>
      <c r="G388" s="58" t="str">
        <f aca="false">VLOOKUP(F388,Countries!$A$2:$B$11,2,0)</f>
        <v>Egypt</v>
      </c>
      <c r="H388" s="13" t="n">
        <v>44</v>
      </c>
      <c r="I388" s="13" t="n">
        <v>303600</v>
      </c>
      <c r="J388" s="0" t="s">
        <v>12</v>
      </c>
      <c r="K388" s="0" t="s">
        <v>387</v>
      </c>
    </row>
    <row r="389" customFormat="false" ht="12.8" hidden="false" customHeight="false" outlineLevel="0" collapsed="false">
      <c r="A389" s="57" t="n">
        <v>46231</v>
      </c>
      <c r="B389" s="0" t="s">
        <v>476</v>
      </c>
      <c r="C389" s="0" t="s">
        <v>17</v>
      </c>
      <c r="D389" s="0" t="s">
        <v>90</v>
      </c>
      <c r="E389" s="58" t="str">
        <f aca="false">VLOOKUP(D389,Models!$A$2:$B$13,2,0)</f>
        <v>55-inch 4K TV</v>
      </c>
      <c r="F389" s="0" t="s">
        <v>79</v>
      </c>
      <c r="G389" s="58" t="str">
        <f aca="false">VLOOKUP(F389,Countries!$A$2:$B$11,2,0)</f>
        <v>Iraq</v>
      </c>
      <c r="H389" s="13" t="n">
        <v>33</v>
      </c>
      <c r="I389" s="13" t="n">
        <v>405900</v>
      </c>
      <c r="J389" s="0" t="s">
        <v>12</v>
      </c>
      <c r="K389" s="0" t="s">
        <v>387</v>
      </c>
    </row>
    <row r="390" customFormat="false" ht="12.8" hidden="false" customHeight="false" outlineLevel="0" collapsed="false">
      <c r="A390" s="57" t="n">
        <v>46231</v>
      </c>
      <c r="B390" s="0" t="s">
        <v>477</v>
      </c>
      <c r="C390" s="0" t="s">
        <v>17</v>
      </c>
      <c r="D390" s="0" t="s">
        <v>64</v>
      </c>
      <c r="E390" s="58" t="str">
        <f aca="false">VLOOKUP(D390,Models!$A$2:$B$13,2,0)</f>
        <v>32-inch Smart TV</v>
      </c>
      <c r="F390" s="0" t="s">
        <v>69</v>
      </c>
      <c r="G390" s="58" t="str">
        <f aca="false">VLOOKUP(F390,Countries!$A$2:$B$11,2,0)</f>
        <v>Egypt</v>
      </c>
      <c r="H390" s="13" t="n">
        <v>59</v>
      </c>
      <c r="I390" s="13" t="n">
        <v>271400</v>
      </c>
      <c r="J390" s="0" t="s">
        <v>12</v>
      </c>
      <c r="K390" s="0" t="s">
        <v>387</v>
      </c>
    </row>
    <row r="391" customFormat="false" ht="12.8" hidden="false" customHeight="false" outlineLevel="0" collapsed="false">
      <c r="A391" s="57" t="n">
        <v>46231</v>
      </c>
      <c r="B391" s="0" t="s">
        <v>478</v>
      </c>
      <c r="C391" s="0" t="s">
        <v>17</v>
      </c>
      <c r="D391" s="0" t="s">
        <v>64</v>
      </c>
      <c r="E391" s="58" t="str">
        <f aca="false">VLOOKUP(D391,Models!$A$2:$B$13,2,0)</f>
        <v>32-inch Smart TV</v>
      </c>
      <c r="F391" s="0" t="s">
        <v>98</v>
      </c>
      <c r="G391" s="58" t="str">
        <f aca="false">VLOOKUP(F391,Countries!$A$2:$B$11,2,0)</f>
        <v>Libya</v>
      </c>
      <c r="H391" s="13" t="n">
        <v>5</v>
      </c>
      <c r="I391" s="13" t="n">
        <v>23000</v>
      </c>
      <c r="J391" s="0" t="s">
        <v>12</v>
      </c>
      <c r="K391" s="0" t="s">
        <v>387</v>
      </c>
    </row>
    <row r="392" customFormat="false" ht="12.8" hidden="false" customHeight="false" outlineLevel="0" collapsed="false">
      <c r="A392" s="57" t="n">
        <v>46231</v>
      </c>
      <c r="B392" s="0" t="s">
        <v>479</v>
      </c>
      <c r="C392" s="0" t="s">
        <v>17</v>
      </c>
      <c r="D392" s="0" t="s">
        <v>77</v>
      </c>
      <c r="E392" s="58" t="str">
        <f aca="false">VLOOKUP(D392,Models!$A$2:$B$13,2,0)</f>
        <v>65-inch QLED TV</v>
      </c>
      <c r="F392" s="0" t="s">
        <v>65</v>
      </c>
      <c r="G392" s="58" t="str">
        <f aca="false">VLOOKUP(F392,Countries!$A$2:$B$11,2,0)</f>
        <v>Jordan</v>
      </c>
      <c r="H392" s="13" t="n">
        <v>21</v>
      </c>
      <c r="I392" s="13" t="n">
        <v>514500</v>
      </c>
      <c r="J392" s="0" t="s">
        <v>12</v>
      </c>
      <c r="K392" s="0" t="s">
        <v>387</v>
      </c>
    </row>
    <row r="393" customFormat="false" ht="12.8" hidden="false" customHeight="false" outlineLevel="0" collapsed="false">
      <c r="A393" s="57" t="n">
        <v>46231</v>
      </c>
      <c r="B393" s="0" t="s">
        <v>480</v>
      </c>
      <c r="C393" s="0" t="s">
        <v>17</v>
      </c>
      <c r="D393" s="0" t="s">
        <v>64</v>
      </c>
      <c r="E393" s="58" t="str">
        <f aca="false">VLOOKUP(D393,Models!$A$2:$B$13,2,0)</f>
        <v>32-inch Smart TV</v>
      </c>
      <c r="F393" s="0" t="s">
        <v>69</v>
      </c>
      <c r="G393" s="58" t="str">
        <f aca="false">VLOOKUP(F393,Countries!$A$2:$B$11,2,0)</f>
        <v>Egypt</v>
      </c>
      <c r="H393" s="13" t="n">
        <v>28</v>
      </c>
      <c r="I393" s="13" t="n">
        <v>128800</v>
      </c>
      <c r="J393" s="0" t="s">
        <v>12</v>
      </c>
      <c r="K393" s="0" t="s">
        <v>387</v>
      </c>
    </row>
    <row r="394" customFormat="false" ht="12.8" hidden="false" customHeight="false" outlineLevel="0" collapsed="false">
      <c r="A394" s="57" t="n">
        <v>46231</v>
      </c>
      <c r="B394" s="0" t="s">
        <v>481</v>
      </c>
      <c r="C394" s="0" t="s">
        <v>19</v>
      </c>
      <c r="D394" s="0" t="s">
        <v>88</v>
      </c>
      <c r="E394" s="58" t="str">
        <f aca="false">VLOOKUP(D394,Models!$A$2:$B$13,2,0)</f>
        <v>24-inch HD TV</v>
      </c>
      <c r="F394" s="0" t="s">
        <v>65</v>
      </c>
      <c r="G394" s="58" t="str">
        <f aca="false">VLOOKUP(F394,Countries!$A$2:$B$11,2,0)</f>
        <v>Jordan</v>
      </c>
      <c r="H394" s="13" t="n">
        <v>56</v>
      </c>
      <c r="I394" s="13" t="n">
        <v>162400</v>
      </c>
      <c r="J394" s="0" t="s">
        <v>12</v>
      </c>
      <c r="K394" s="0" t="s">
        <v>387</v>
      </c>
    </row>
    <row r="395" customFormat="false" ht="12.8" hidden="false" customHeight="false" outlineLevel="0" collapsed="false">
      <c r="A395" s="57" t="n">
        <v>46231</v>
      </c>
      <c r="B395" s="0" t="s">
        <v>482</v>
      </c>
      <c r="C395" s="0" t="s">
        <v>19</v>
      </c>
      <c r="D395" s="0" t="s">
        <v>95</v>
      </c>
      <c r="E395" s="58" t="str">
        <f aca="false">VLOOKUP(D395,Models!$A$2:$B$13,2,0)</f>
        <v>32-inch HD TV</v>
      </c>
      <c r="F395" s="0" t="s">
        <v>177</v>
      </c>
      <c r="G395" s="58" t="str">
        <f aca="false">VLOOKUP(F395,Countries!$A$2:$B$11,2,0)</f>
        <v>Saudi Arabia</v>
      </c>
      <c r="H395" s="13" t="n">
        <v>41</v>
      </c>
      <c r="I395" s="13" t="n">
        <v>159900</v>
      </c>
      <c r="J395" s="0" t="s">
        <v>12</v>
      </c>
      <c r="K395" s="0" t="s">
        <v>387</v>
      </c>
    </row>
    <row r="396" customFormat="false" ht="12.8" hidden="false" customHeight="false" outlineLevel="0" collapsed="false">
      <c r="A396" s="57" t="n">
        <v>46231</v>
      </c>
      <c r="B396" s="0" t="s">
        <v>483</v>
      </c>
      <c r="C396" s="0" t="s">
        <v>19</v>
      </c>
      <c r="D396" s="0" t="s">
        <v>64</v>
      </c>
      <c r="E396" s="58" t="str">
        <f aca="false">VLOOKUP(D396,Models!$A$2:$B$13,2,0)</f>
        <v>32-inch Smart TV</v>
      </c>
      <c r="F396" s="0" t="s">
        <v>83</v>
      </c>
      <c r="G396" s="58" t="str">
        <f aca="false">VLOOKUP(F396,Countries!$A$2:$B$11,2,0)</f>
        <v>United Arab Emirates</v>
      </c>
      <c r="H396" s="13" t="n">
        <v>31</v>
      </c>
      <c r="I396" s="13" t="n">
        <v>142600</v>
      </c>
      <c r="J396" s="0" t="s">
        <v>12</v>
      </c>
      <c r="K396" s="0" t="s">
        <v>387</v>
      </c>
    </row>
    <row r="397" customFormat="false" ht="12.8" hidden="false" customHeight="false" outlineLevel="0" collapsed="false">
      <c r="A397" s="57" t="n">
        <v>46231</v>
      </c>
      <c r="B397" s="0" t="s">
        <v>484</v>
      </c>
      <c r="C397" s="0" t="s">
        <v>19</v>
      </c>
      <c r="D397" s="0" t="s">
        <v>90</v>
      </c>
      <c r="E397" s="58" t="str">
        <f aca="false">VLOOKUP(D397,Models!$A$2:$B$13,2,0)</f>
        <v>55-inch 4K TV</v>
      </c>
      <c r="F397" s="0" t="s">
        <v>103</v>
      </c>
      <c r="G397" s="58" t="str">
        <f aca="false">VLOOKUP(F397,Countries!$A$2:$B$11,2,0)</f>
        <v>Morocco</v>
      </c>
      <c r="H397" s="13" t="n">
        <v>13</v>
      </c>
      <c r="I397" s="13" t="n">
        <v>159900</v>
      </c>
      <c r="J397" s="0" t="s">
        <v>12</v>
      </c>
      <c r="K397" s="0" t="s">
        <v>387</v>
      </c>
    </row>
    <row r="398" customFormat="false" ht="12.8" hidden="false" customHeight="false" outlineLevel="0" collapsed="false">
      <c r="A398" s="57" t="n">
        <v>46231</v>
      </c>
      <c r="B398" s="0" t="s">
        <v>485</v>
      </c>
      <c r="C398" s="0" t="s">
        <v>20</v>
      </c>
      <c r="D398" s="0" t="s">
        <v>92</v>
      </c>
      <c r="E398" s="58" t="str">
        <f aca="false">VLOOKUP(D398,Models!$A$2:$B$13,2,0)</f>
        <v>65-inch 4K TV</v>
      </c>
      <c r="F398" s="0" t="s">
        <v>69</v>
      </c>
      <c r="G398" s="58" t="str">
        <f aca="false">VLOOKUP(F398,Countries!$A$2:$B$11,2,0)</f>
        <v>Egypt</v>
      </c>
      <c r="H398" s="13" t="n">
        <v>19</v>
      </c>
      <c r="I398" s="13" t="n">
        <v>376200</v>
      </c>
      <c r="J398" s="0" t="s">
        <v>12</v>
      </c>
      <c r="K398" s="0" t="s">
        <v>387</v>
      </c>
    </row>
    <row r="399" customFormat="false" ht="12.8" hidden="false" customHeight="false" outlineLevel="0" collapsed="false">
      <c r="A399" s="57" t="n">
        <v>46231</v>
      </c>
      <c r="B399" s="0" t="s">
        <v>486</v>
      </c>
      <c r="C399" s="0" t="s">
        <v>21</v>
      </c>
      <c r="D399" s="0" t="s">
        <v>74</v>
      </c>
      <c r="E399" s="58" t="str">
        <f aca="false">VLOOKUP(D399,Models!$A$2:$B$13,2,0)</f>
        <v>40-inch Full HD TV</v>
      </c>
      <c r="F399" s="0" t="s">
        <v>177</v>
      </c>
      <c r="G399" s="58" t="str">
        <f aca="false">VLOOKUP(F399,Countries!$A$2:$B$11,2,0)</f>
        <v>Saudi Arabia</v>
      </c>
      <c r="H399" s="13" t="n">
        <v>15</v>
      </c>
      <c r="I399" s="13" t="n">
        <v>93000</v>
      </c>
      <c r="J399" s="0" t="s">
        <v>12</v>
      </c>
      <c r="K399" s="0" t="s">
        <v>387</v>
      </c>
    </row>
    <row r="400" customFormat="false" ht="12.8" hidden="false" customHeight="false" outlineLevel="0" collapsed="false">
      <c r="A400" s="57" t="n">
        <v>46231</v>
      </c>
      <c r="B400" s="0" t="s">
        <v>487</v>
      </c>
      <c r="C400" s="0" t="s">
        <v>21</v>
      </c>
      <c r="D400" s="0" t="s">
        <v>74</v>
      </c>
      <c r="E400" s="58" t="str">
        <f aca="false">VLOOKUP(D400,Models!$A$2:$B$13,2,0)</f>
        <v>40-inch Full HD TV</v>
      </c>
      <c r="F400" s="0" t="s">
        <v>177</v>
      </c>
      <c r="G400" s="58" t="str">
        <f aca="false">VLOOKUP(F400,Countries!$A$2:$B$11,2,0)</f>
        <v>Saudi Arabia</v>
      </c>
      <c r="H400" s="13" t="n">
        <v>16</v>
      </c>
      <c r="I400" s="13" t="n">
        <v>99200</v>
      </c>
      <c r="J400" s="0" t="s">
        <v>12</v>
      </c>
      <c r="K400" s="0" t="s">
        <v>387</v>
      </c>
    </row>
    <row r="401" customFormat="false" ht="12.8" hidden="false" customHeight="false" outlineLevel="0" collapsed="false">
      <c r="A401" s="57" t="n">
        <v>46231</v>
      </c>
      <c r="B401" s="0" t="s">
        <v>488</v>
      </c>
      <c r="C401" s="0" t="s">
        <v>21</v>
      </c>
      <c r="D401" s="0" t="s">
        <v>88</v>
      </c>
      <c r="E401" s="58" t="str">
        <f aca="false">VLOOKUP(D401,Models!$A$2:$B$13,2,0)</f>
        <v>24-inch HD TV</v>
      </c>
      <c r="F401" s="0" t="s">
        <v>69</v>
      </c>
      <c r="G401" s="58" t="str">
        <f aca="false">VLOOKUP(F401,Countries!$A$2:$B$11,2,0)</f>
        <v>Egypt</v>
      </c>
      <c r="H401" s="13" t="n">
        <v>18</v>
      </c>
      <c r="I401" s="13" t="n">
        <v>52200</v>
      </c>
      <c r="J401" s="0" t="s">
        <v>12</v>
      </c>
      <c r="K401" s="0" t="s">
        <v>387</v>
      </c>
    </row>
    <row r="402" customFormat="false" ht="12.8" hidden="false" customHeight="false" outlineLevel="0" collapsed="false">
      <c r="A402" s="57" t="n">
        <v>46232</v>
      </c>
      <c r="B402" s="0" t="s">
        <v>489</v>
      </c>
      <c r="C402" s="0" t="s">
        <v>13</v>
      </c>
      <c r="D402" s="0" t="s">
        <v>64</v>
      </c>
      <c r="E402" s="58" t="str">
        <f aca="false">VLOOKUP(D402,Models!$A$2:$B$13,2,0)</f>
        <v>32-inch Smart TV</v>
      </c>
      <c r="F402" s="0" t="s">
        <v>69</v>
      </c>
      <c r="G402" s="58" t="str">
        <f aca="false">VLOOKUP(F402,Countries!$A$2:$B$11,2,0)</f>
        <v>Egypt</v>
      </c>
      <c r="H402" s="13" t="n">
        <v>21</v>
      </c>
      <c r="I402" s="13" t="n">
        <v>96600</v>
      </c>
      <c r="J402" s="0" t="s">
        <v>12</v>
      </c>
      <c r="K402" s="0" t="s">
        <v>490</v>
      </c>
    </row>
    <row r="403" customFormat="false" ht="12.8" hidden="false" customHeight="false" outlineLevel="0" collapsed="false">
      <c r="A403" s="57" t="n">
        <v>46232</v>
      </c>
      <c r="B403" s="0" t="s">
        <v>491</v>
      </c>
      <c r="C403" s="0" t="s">
        <v>13</v>
      </c>
      <c r="D403" s="0" t="s">
        <v>88</v>
      </c>
      <c r="E403" s="58" t="str">
        <f aca="false">VLOOKUP(D403,Models!$A$2:$B$13,2,0)</f>
        <v>24-inch HD TV</v>
      </c>
      <c r="F403" s="0" t="s">
        <v>69</v>
      </c>
      <c r="G403" s="58" t="str">
        <f aca="false">VLOOKUP(F403,Countries!$A$2:$B$11,2,0)</f>
        <v>Egypt</v>
      </c>
      <c r="H403" s="13" t="n">
        <v>31</v>
      </c>
      <c r="I403" s="13" t="n">
        <v>89900</v>
      </c>
      <c r="J403" s="0" t="s">
        <v>12</v>
      </c>
      <c r="K403" s="0" t="s">
        <v>490</v>
      </c>
    </row>
    <row r="404" customFormat="false" ht="12.8" hidden="false" customHeight="false" outlineLevel="0" collapsed="false">
      <c r="A404" s="57" t="n">
        <v>46232</v>
      </c>
      <c r="B404" s="0" t="s">
        <v>492</v>
      </c>
      <c r="C404" s="0" t="s">
        <v>13</v>
      </c>
      <c r="D404" s="0" t="s">
        <v>81</v>
      </c>
      <c r="E404" s="58" t="str">
        <f aca="false">VLOOKUP(D404,Models!$A$2:$B$13,2,0)</f>
        <v>43-inch Smart TV</v>
      </c>
      <c r="F404" s="0" t="s">
        <v>103</v>
      </c>
      <c r="G404" s="58" t="str">
        <f aca="false">VLOOKUP(F404,Countries!$A$2:$B$11,2,0)</f>
        <v>Morocco</v>
      </c>
      <c r="H404" s="13" t="n">
        <v>11</v>
      </c>
      <c r="I404" s="13" t="n">
        <v>85800</v>
      </c>
      <c r="J404" s="0" t="s">
        <v>12</v>
      </c>
      <c r="K404" s="0" t="s">
        <v>490</v>
      </c>
    </row>
    <row r="405" customFormat="false" ht="12.8" hidden="false" customHeight="false" outlineLevel="0" collapsed="false">
      <c r="A405" s="57" t="n">
        <v>46232</v>
      </c>
      <c r="B405" s="0" t="s">
        <v>493</v>
      </c>
      <c r="C405" s="0" t="s">
        <v>15</v>
      </c>
      <c r="D405" s="0" t="s">
        <v>81</v>
      </c>
      <c r="E405" s="58" t="str">
        <f aca="false">VLOOKUP(D405,Models!$A$2:$B$13,2,0)</f>
        <v>43-inch Smart TV</v>
      </c>
      <c r="F405" s="0" t="s">
        <v>69</v>
      </c>
      <c r="G405" s="58" t="str">
        <f aca="false">VLOOKUP(F405,Countries!$A$2:$B$11,2,0)</f>
        <v>Egypt</v>
      </c>
      <c r="H405" s="13" t="n">
        <v>30</v>
      </c>
      <c r="I405" s="13" t="n">
        <v>234000</v>
      </c>
      <c r="J405" s="0" t="s">
        <v>12</v>
      </c>
      <c r="K405" s="0" t="s">
        <v>490</v>
      </c>
    </row>
    <row r="406" customFormat="false" ht="12.8" hidden="false" customHeight="false" outlineLevel="0" collapsed="false">
      <c r="A406" s="57" t="n">
        <v>46232</v>
      </c>
      <c r="B406" s="0" t="s">
        <v>494</v>
      </c>
      <c r="C406" s="0" t="s">
        <v>15</v>
      </c>
      <c r="D406" s="0" t="s">
        <v>71</v>
      </c>
      <c r="E406" s="58" t="str">
        <f aca="false">VLOOKUP(D406,Models!$A$2:$B$13,2,0)</f>
        <v>43-inch Full HD TV</v>
      </c>
      <c r="F406" s="0" t="s">
        <v>79</v>
      </c>
      <c r="G406" s="58" t="str">
        <f aca="false">VLOOKUP(F406,Countries!$A$2:$B$11,2,0)</f>
        <v>Iraq</v>
      </c>
      <c r="H406" s="13" t="n">
        <v>10</v>
      </c>
      <c r="I406" s="13" t="n">
        <v>69000</v>
      </c>
      <c r="J406" s="0" t="s">
        <v>12</v>
      </c>
      <c r="K406" s="0" t="s">
        <v>490</v>
      </c>
    </row>
    <row r="407" customFormat="false" ht="12.8" hidden="false" customHeight="false" outlineLevel="0" collapsed="false">
      <c r="A407" s="57" t="n">
        <v>46232</v>
      </c>
      <c r="B407" s="0" t="s">
        <v>495</v>
      </c>
      <c r="C407" s="0" t="s">
        <v>15</v>
      </c>
      <c r="D407" s="0" t="s">
        <v>68</v>
      </c>
      <c r="E407" s="58" t="str">
        <f aca="false">VLOOKUP(D407,Models!$A$2:$B$13,2,0)</f>
        <v>50-inch 4K TV</v>
      </c>
      <c r="F407" s="0" t="s">
        <v>69</v>
      </c>
      <c r="G407" s="58" t="str">
        <f aca="false">VLOOKUP(F407,Countries!$A$2:$B$11,2,0)</f>
        <v>Egypt</v>
      </c>
      <c r="H407" s="13" t="n">
        <v>33</v>
      </c>
      <c r="I407" s="13" t="n">
        <v>343200</v>
      </c>
      <c r="J407" s="0" t="s">
        <v>12</v>
      </c>
      <c r="K407" s="0" t="s">
        <v>490</v>
      </c>
    </row>
    <row r="408" customFormat="false" ht="12.8" hidden="false" customHeight="false" outlineLevel="0" collapsed="false">
      <c r="A408" s="57" t="n">
        <v>46232</v>
      </c>
      <c r="B408" s="0" t="s">
        <v>496</v>
      </c>
      <c r="C408" s="0" t="s">
        <v>15</v>
      </c>
      <c r="D408" s="0" t="s">
        <v>90</v>
      </c>
      <c r="E408" s="58" t="str">
        <f aca="false">VLOOKUP(D408,Models!$A$2:$B$13,2,0)</f>
        <v>55-inch 4K TV</v>
      </c>
      <c r="F408" s="0" t="s">
        <v>65</v>
      </c>
      <c r="G408" s="58" t="str">
        <f aca="false">VLOOKUP(F408,Countries!$A$2:$B$11,2,0)</f>
        <v>Jordan</v>
      </c>
      <c r="H408" s="13" t="n">
        <v>11</v>
      </c>
      <c r="I408" s="13" t="n">
        <v>135300</v>
      </c>
      <c r="J408" s="0" t="s">
        <v>12</v>
      </c>
      <c r="K408" s="0" t="s">
        <v>490</v>
      </c>
    </row>
    <row r="409" customFormat="false" ht="12.8" hidden="false" customHeight="false" outlineLevel="0" collapsed="false">
      <c r="A409" s="57" t="n">
        <v>46232</v>
      </c>
      <c r="B409" s="0" t="s">
        <v>497</v>
      </c>
      <c r="C409" s="0" t="s">
        <v>15</v>
      </c>
      <c r="D409" s="0" t="s">
        <v>95</v>
      </c>
      <c r="E409" s="58" t="str">
        <f aca="false">VLOOKUP(D409,Models!$A$2:$B$13,2,0)</f>
        <v>32-inch HD TV</v>
      </c>
      <c r="F409" s="0" t="s">
        <v>75</v>
      </c>
      <c r="G409" s="58" t="str">
        <f aca="false">VLOOKUP(F409,Countries!$A$2:$B$11,2,0)</f>
        <v>Nigeria</v>
      </c>
      <c r="H409" s="13" t="n">
        <v>5</v>
      </c>
      <c r="I409" s="13" t="n">
        <v>19500</v>
      </c>
      <c r="J409" s="0" t="s">
        <v>12</v>
      </c>
      <c r="K409" s="0" t="s">
        <v>490</v>
      </c>
    </row>
    <row r="410" customFormat="false" ht="12.8" hidden="false" customHeight="false" outlineLevel="0" collapsed="false">
      <c r="A410" s="57" t="n">
        <v>46232</v>
      </c>
      <c r="B410" s="0" t="s">
        <v>498</v>
      </c>
      <c r="C410" s="0" t="s">
        <v>17</v>
      </c>
      <c r="D410" s="0" t="s">
        <v>77</v>
      </c>
      <c r="E410" s="58" t="str">
        <f aca="false">VLOOKUP(D410,Models!$A$2:$B$13,2,0)</f>
        <v>65-inch QLED TV</v>
      </c>
      <c r="F410" s="0" t="s">
        <v>69</v>
      </c>
      <c r="G410" s="58" t="str">
        <f aca="false">VLOOKUP(F410,Countries!$A$2:$B$11,2,0)</f>
        <v>Egypt</v>
      </c>
      <c r="H410" s="13" t="n">
        <v>21</v>
      </c>
      <c r="I410" s="13" t="n">
        <v>514500</v>
      </c>
      <c r="J410" s="0" t="s">
        <v>12</v>
      </c>
      <c r="K410" s="0" t="s">
        <v>490</v>
      </c>
    </row>
    <row r="411" customFormat="false" ht="12.8" hidden="false" customHeight="false" outlineLevel="0" collapsed="false">
      <c r="A411" s="57" t="n">
        <v>46232</v>
      </c>
      <c r="B411" s="0" t="s">
        <v>499</v>
      </c>
      <c r="C411" s="0" t="s">
        <v>17</v>
      </c>
      <c r="D411" s="0" t="s">
        <v>109</v>
      </c>
      <c r="E411" s="58" t="str">
        <f aca="false">VLOOKUP(D411,Models!$A$2:$B$13,2,0)</f>
        <v>55-inch QLED TV</v>
      </c>
      <c r="F411" s="0" t="s">
        <v>69</v>
      </c>
      <c r="G411" s="58" t="str">
        <f aca="false">VLOOKUP(F411,Countries!$A$2:$B$11,2,0)</f>
        <v>Egypt</v>
      </c>
      <c r="H411" s="13" t="n">
        <v>19</v>
      </c>
      <c r="I411" s="13" t="n">
        <v>296400</v>
      </c>
      <c r="J411" s="0" t="s">
        <v>12</v>
      </c>
      <c r="K411" s="0" t="s">
        <v>490</v>
      </c>
    </row>
    <row r="412" customFormat="false" ht="12.8" hidden="false" customHeight="false" outlineLevel="0" collapsed="false">
      <c r="A412" s="57" t="n">
        <v>46232</v>
      </c>
      <c r="B412" s="0" t="s">
        <v>500</v>
      </c>
      <c r="C412" s="0" t="s">
        <v>19</v>
      </c>
      <c r="D412" s="0" t="s">
        <v>90</v>
      </c>
      <c r="E412" s="58" t="str">
        <f aca="false">VLOOKUP(D412,Models!$A$2:$B$13,2,0)</f>
        <v>55-inch 4K TV</v>
      </c>
      <c r="F412" s="0" t="s">
        <v>69</v>
      </c>
      <c r="G412" s="58" t="str">
        <f aca="false">VLOOKUP(F412,Countries!$A$2:$B$11,2,0)</f>
        <v>Egypt</v>
      </c>
      <c r="H412" s="13" t="n">
        <v>31</v>
      </c>
      <c r="I412" s="13" t="n">
        <v>381300</v>
      </c>
      <c r="J412" s="0" t="s">
        <v>12</v>
      </c>
      <c r="K412" s="0" t="s">
        <v>490</v>
      </c>
    </row>
    <row r="413" customFormat="false" ht="12.8" hidden="false" customHeight="false" outlineLevel="0" collapsed="false">
      <c r="A413" s="57" t="n">
        <v>46232</v>
      </c>
      <c r="B413" s="0" t="s">
        <v>501</v>
      </c>
      <c r="C413" s="0" t="s">
        <v>20</v>
      </c>
      <c r="D413" s="0" t="s">
        <v>71</v>
      </c>
      <c r="E413" s="58" t="str">
        <f aca="false">VLOOKUP(D413,Models!$A$2:$B$13,2,0)</f>
        <v>43-inch Full HD TV</v>
      </c>
      <c r="F413" s="0" t="s">
        <v>69</v>
      </c>
      <c r="G413" s="58" t="str">
        <f aca="false">VLOOKUP(F413,Countries!$A$2:$B$11,2,0)</f>
        <v>Egypt</v>
      </c>
      <c r="H413" s="13" t="n">
        <v>40</v>
      </c>
      <c r="I413" s="13" t="n">
        <v>276000</v>
      </c>
      <c r="J413" s="0" t="s">
        <v>12</v>
      </c>
      <c r="K413" s="0" t="s">
        <v>490</v>
      </c>
    </row>
    <row r="414" customFormat="false" ht="12.8" hidden="false" customHeight="false" outlineLevel="0" collapsed="false">
      <c r="A414" s="57" t="n">
        <v>46232</v>
      </c>
      <c r="B414" s="0" t="s">
        <v>502</v>
      </c>
      <c r="C414" s="0" t="s">
        <v>20</v>
      </c>
      <c r="D414" s="0" t="s">
        <v>88</v>
      </c>
      <c r="E414" s="58" t="str">
        <f aca="false">VLOOKUP(D414,Models!$A$2:$B$13,2,0)</f>
        <v>24-inch HD TV</v>
      </c>
      <c r="F414" s="0" t="s">
        <v>69</v>
      </c>
      <c r="G414" s="58" t="str">
        <f aca="false">VLOOKUP(F414,Countries!$A$2:$B$11,2,0)</f>
        <v>Egypt</v>
      </c>
      <c r="H414" s="13" t="n">
        <v>54</v>
      </c>
      <c r="I414" s="13" t="n">
        <v>156600</v>
      </c>
      <c r="J414" s="0" t="s">
        <v>12</v>
      </c>
      <c r="K414" s="0" t="s">
        <v>490</v>
      </c>
    </row>
    <row r="415" customFormat="false" ht="12.8" hidden="false" customHeight="false" outlineLevel="0" collapsed="false">
      <c r="A415" s="57" t="n">
        <v>46232</v>
      </c>
      <c r="B415" s="0" t="s">
        <v>503</v>
      </c>
      <c r="C415" s="0" t="s">
        <v>20</v>
      </c>
      <c r="D415" s="0" t="s">
        <v>92</v>
      </c>
      <c r="E415" s="58" t="str">
        <f aca="false">VLOOKUP(D415,Models!$A$2:$B$13,2,0)</f>
        <v>65-inch 4K TV</v>
      </c>
      <c r="F415" s="0" t="s">
        <v>72</v>
      </c>
      <c r="G415" s="58" t="str">
        <f aca="false">VLOOKUP(F415,Countries!$A$2:$B$11,2,0)</f>
        <v>Kenya</v>
      </c>
      <c r="H415" s="13" t="n">
        <v>19</v>
      </c>
      <c r="I415" s="13" t="n">
        <v>376200</v>
      </c>
      <c r="J415" s="0" t="s">
        <v>12</v>
      </c>
      <c r="K415" s="0" t="s">
        <v>490</v>
      </c>
    </row>
    <row r="416" customFormat="false" ht="12.8" hidden="false" customHeight="false" outlineLevel="0" collapsed="false">
      <c r="A416" s="57" t="n">
        <v>46232</v>
      </c>
      <c r="B416" s="0" t="s">
        <v>504</v>
      </c>
      <c r="C416" s="0" t="s">
        <v>21</v>
      </c>
      <c r="D416" s="0" t="s">
        <v>90</v>
      </c>
      <c r="E416" s="58" t="str">
        <f aca="false">VLOOKUP(D416,Models!$A$2:$B$13,2,0)</f>
        <v>55-inch 4K TV</v>
      </c>
      <c r="F416" s="0" t="s">
        <v>69</v>
      </c>
      <c r="G416" s="58" t="str">
        <f aca="false">VLOOKUP(F416,Countries!$A$2:$B$11,2,0)</f>
        <v>Egypt</v>
      </c>
      <c r="H416" s="13" t="n">
        <v>25</v>
      </c>
      <c r="I416" s="13" t="n">
        <v>307500</v>
      </c>
      <c r="J416" s="0" t="s">
        <v>12</v>
      </c>
      <c r="K416" s="0" t="s">
        <v>490</v>
      </c>
    </row>
    <row r="417" customFormat="false" ht="12.8" hidden="false" customHeight="false" outlineLevel="0" collapsed="false">
      <c r="A417" s="57" t="n">
        <v>46232</v>
      </c>
      <c r="B417" s="0" t="s">
        <v>505</v>
      </c>
      <c r="C417" s="0" t="s">
        <v>21</v>
      </c>
      <c r="D417" s="0" t="s">
        <v>95</v>
      </c>
      <c r="E417" s="58" t="str">
        <f aca="false">VLOOKUP(D417,Models!$A$2:$B$13,2,0)</f>
        <v>32-inch HD TV</v>
      </c>
      <c r="F417" s="0" t="s">
        <v>69</v>
      </c>
      <c r="G417" s="58" t="str">
        <f aca="false">VLOOKUP(F417,Countries!$A$2:$B$11,2,0)</f>
        <v>Egypt</v>
      </c>
      <c r="H417" s="13" t="n">
        <v>47</v>
      </c>
      <c r="I417" s="13" t="n">
        <v>183300</v>
      </c>
      <c r="J417" s="0" t="s">
        <v>12</v>
      </c>
      <c r="K417" s="0" t="s">
        <v>490</v>
      </c>
    </row>
    <row r="418" customFormat="false" ht="12.8" hidden="false" customHeight="false" outlineLevel="0" collapsed="false">
      <c r="A418" s="57" t="n">
        <v>46233</v>
      </c>
      <c r="B418" s="0" t="s">
        <v>506</v>
      </c>
      <c r="C418" s="0" t="s">
        <v>13</v>
      </c>
      <c r="D418" s="0" t="s">
        <v>74</v>
      </c>
      <c r="E418" s="58" t="str">
        <f aca="false">VLOOKUP(D418,Models!$A$2:$B$13,2,0)</f>
        <v>40-inch Full HD TV</v>
      </c>
      <c r="F418" s="0" t="s">
        <v>69</v>
      </c>
      <c r="G418" s="58" t="str">
        <f aca="false">VLOOKUP(F418,Countries!$A$2:$B$11,2,0)</f>
        <v>Egypt</v>
      </c>
      <c r="H418" s="13" t="n">
        <v>29</v>
      </c>
      <c r="I418" s="13" t="n">
        <v>179800</v>
      </c>
      <c r="J418" s="0" t="s">
        <v>12</v>
      </c>
      <c r="K418" s="0" t="s">
        <v>490</v>
      </c>
    </row>
    <row r="419" customFormat="false" ht="12.8" hidden="false" customHeight="false" outlineLevel="0" collapsed="false">
      <c r="A419" s="57" t="n">
        <v>46233</v>
      </c>
      <c r="B419" s="0" t="s">
        <v>507</v>
      </c>
      <c r="C419" s="0" t="s">
        <v>13</v>
      </c>
      <c r="D419" s="0" t="s">
        <v>81</v>
      </c>
      <c r="E419" s="58" t="str">
        <f aca="false">VLOOKUP(D419,Models!$A$2:$B$13,2,0)</f>
        <v>43-inch Smart TV</v>
      </c>
      <c r="F419" s="0" t="s">
        <v>101</v>
      </c>
      <c r="G419" s="58" t="str">
        <f aca="false">VLOOKUP(F419,Countries!$A$2:$B$11,2,0)</f>
        <v>Kuwait</v>
      </c>
      <c r="H419" s="13" t="n">
        <v>16</v>
      </c>
      <c r="I419" s="13" t="n">
        <v>124800</v>
      </c>
      <c r="J419" s="0" t="s">
        <v>12</v>
      </c>
      <c r="K419" s="0" t="s">
        <v>490</v>
      </c>
    </row>
    <row r="420" customFormat="false" ht="12.8" hidden="false" customHeight="false" outlineLevel="0" collapsed="false">
      <c r="A420" s="57" t="n">
        <v>46233</v>
      </c>
      <c r="B420" s="0" t="s">
        <v>508</v>
      </c>
      <c r="C420" s="0" t="s">
        <v>13</v>
      </c>
      <c r="D420" s="0" t="s">
        <v>95</v>
      </c>
      <c r="E420" s="58" t="str">
        <f aca="false">VLOOKUP(D420,Models!$A$2:$B$13,2,0)</f>
        <v>32-inch HD TV</v>
      </c>
      <c r="F420" s="0" t="s">
        <v>69</v>
      </c>
      <c r="G420" s="58" t="str">
        <f aca="false">VLOOKUP(F420,Countries!$A$2:$B$11,2,0)</f>
        <v>Egypt</v>
      </c>
      <c r="H420" s="13" t="n">
        <v>5</v>
      </c>
      <c r="I420" s="13" t="n">
        <v>19500</v>
      </c>
      <c r="J420" s="0" t="s">
        <v>12</v>
      </c>
      <c r="K420" s="0" t="s">
        <v>490</v>
      </c>
    </row>
    <row r="421" customFormat="false" ht="12.8" hidden="false" customHeight="false" outlineLevel="0" collapsed="false">
      <c r="A421" s="57" t="n">
        <v>46233</v>
      </c>
      <c r="B421" s="0" t="s">
        <v>509</v>
      </c>
      <c r="C421" s="0" t="s">
        <v>15</v>
      </c>
      <c r="D421" s="0" t="s">
        <v>85</v>
      </c>
      <c r="E421" s="58" t="str">
        <f aca="false">VLOOKUP(D421,Models!$A$2:$B$13,2,0)</f>
        <v>75-inch 4K TV</v>
      </c>
      <c r="F421" s="0" t="s">
        <v>103</v>
      </c>
      <c r="G421" s="58" t="str">
        <f aca="false">VLOOKUP(F421,Countries!$A$2:$B$11,2,0)</f>
        <v>Morocco</v>
      </c>
      <c r="H421" s="13" t="n">
        <v>8</v>
      </c>
      <c r="I421" s="13" t="n">
        <v>249600</v>
      </c>
      <c r="J421" s="0" t="s">
        <v>12</v>
      </c>
      <c r="K421" s="0" t="s">
        <v>490</v>
      </c>
    </row>
    <row r="422" customFormat="false" ht="12.8" hidden="false" customHeight="false" outlineLevel="0" collapsed="false">
      <c r="A422" s="57" t="n">
        <v>46233</v>
      </c>
      <c r="B422" s="0" t="s">
        <v>510</v>
      </c>
      <c r="C422" s="0" t="s">
        <v>17</v>
      </c>
      <c r="D422" s="0" t="s">
        <v>77</v>
      </c>
      <c r="E422" s="58" t="str">
        <f aca="false">VLOOKUP(D422,Models!$A$2:$B$13,2,0)</f>
        <v>65-inch QLED TV</v>
      </c>
      <c r="F422" s="0" t="s">
        <v>177</v>
      </c>
      <c r="G422" s="58" t="str">
        <f aca="false">VLOOKUP(F422,Countries!$A$2:$B$11,2,0)</f>
        <v>Saudi Arabia</v>
      </c>
      <c r="H422" s="13" t="n">
        <v>12</v>
      </c>
      <c r="I422" s="13" t="n">
        <v>294000</v>
      </c>
      <c r="J422" s="0" t="s">
        <v>12</v>
      </c>
      <c r="K422" s="0" t="s">
        <v>490</v>
      </c>
    </row>
    <row r="423" customFormat="false" ht="12.8" hidden="false" customHeight="false" outlineLevel="0" collapsed="false">
      <c r="A423" s="57" t="n">
        <v>46233</v>
      </c>
      <c r="B423" s="0" t="s">
        <v>511</v>
      </c>
      <c r="C423" s="0" t="s">
        <v>17</v>
      </c>
      <c r="D423" s="0" t="s">
        <v>71</v>
      </c>
      <c r="E423" s="58" t="str">
        <f aca="false">VLOOKUP(D423,Models!$A$2:$B$13,2,0)</f>
        <v>43-inch Full HD TV</v>
      </c>
      <c r="F423" s="0" t="s">
        <v>69</v>
      </c>
      <c r="G423" s="58" t="str">
        <f aca="false">VLOOKUP(F423,Countries!$A$2:$B$11,2,0)</f>
        <v>Egypt</v>
      </c>
      <c r="H423" s="13" t="n">
        <v>38</v>
      </c>
      <c r="I423" s="13" t="n">
        <v>262200</v>
      </c>
      <c r="J423" s="0" t="s">
        <v>12</v>
      </c>
      <c r="K423" s="0" t="s">
        <v>490</v>
      </c>
    </row>
    <row r="424" customFormat="false" ht="12.8" hidden="false" customHeight="false" outlineLevel="0" collapsed="false">
      <c r="A424" s="57" t="n">
        <v>46233</v>
      </c>
      <c r="B424" s="0" t="s">
        <v>512</v>
      </c>
      <c r="C424" s="0" t="s">
        <v>17</v>
      </c>
      <c r="D424" s="0" t="s">
        <v>88</v>
      </c>
      <c r="E424" s="58" t="str">
        <f aca="false">VLOOKUP(D424,Models!$A$2:$B$13,2,0)</f>
        <v>24-inch HD TV</v>
      </c>
      <c r="F424" s="0" t="s">
        <v>69</v>
      </c>
      <c r="G424" s="58" t="str">
        <f aca="false">VLOOKUP(F424,Countries!$A$2:$B$11,2,0)</f>
        <v>Egypt</v>
      </c>
      <c r="H424" s="13" t="n">
        <v>41</v>
      </c>
      <c r="I424" s="13" t="n">
        <v>118900</v>
      </c>
      <c r="J424" s="0" t="s">
        <v>12</v>
      </c>
      <c r="K424" s="0" t="s">
        <v>490</v>
      </c>
    </row>
    <row r="425" customFormat="false" ht="12.8" hidden="false" customHeight="false" outlineLevel="0" collapsed="false">
      <c r="A425" s="57" t="n">
        <v>46233</v>
      </c>
      <c r="B425" s="0" t="s">
        <v>513</v>
      </c>
      <c r="C425" s="0" t="s">
        <v>17</v>
      </c>
      <c r="D425" s="0" t="s">
        <v>64</v>
      </c>
      <c r="E425" s="58" t="str">
        <f aca="false">VLOOKUP(D425,Models!$A$2:$B$13,2,0)</f>
        <v>32-inch Smart TV</v>
      </c>
      <c r="F425" s="0" t="s">
        <v>69</v>
      </c>
      <c r="G425" s="58" t="str">
        <f aca="false">VLOOKUP(F425,Countries!$A$2:$B$11,2,0)</f>
        <v>Egypt</v>
      </c>
      <c r="H425" s="13" t="n">
        <v>56</v>
      </c>
      <c r="I425" s="13" t="n">
        <v>257600</v>
      </c>
      <c r="J425" s="0" t="s">
        <v>12</v>
      </c>
      <c r="K425" s="0" t="s">
        <v>490</v>
      </c>
    </row>
    <row r="426" customFormat="false" ht="12.8" hidden="false" customHeight="false" outlineLevel="0" collapsed="false">
      <c r="A426" s="57" t="n">
        <v>46233</v>
      </c>
      <c r="B426" s="0" t="s">
        <v>514</v>
      </c>
      <c r="C426" s="0" t="s">
        <v>19</v>
      </c>
      <c r="D426" s="0" t="s">
        <v>90</v>
      </c>
      <c r="E426" s="58" t="str">
        <f aca="false">VLOOKUP(D426,Models!$A$2:$B$13,2,0)</f>
        <v>55-inch 4K TV</v>
      </c>
      <c r="F426" s="0" t="s">
        <v>69</v>
      </c>
      <c r="G426" s="58" t="str">
        <f aca="false">VLOOKUP(F426,Countries!$A$2:$B$11,2,0)</f>
        <v>Egypt</v>
      </c>
      <c r="H426" s="13" t="n">
        <v>33</v>
      </c>
      <c r="I426" s="13" t="n">
        <v>405900</v>
      </c>
      <c r="J426" s="0" t="s">
        <v>12</v>
      </c>
      <c r="K426" s="0" t="s">
        <v>490</v>
      </c>
    </row>
    <row r="427" customFormat="false" ht="12.8" hidden="false" customHeight="false" outlineLevel="0" collapsed="false">
      <c r="A427" s="57" t="n">
        <v>46233</v>
      </c>
      <c r="B427" s="0" t="s">
        <v>515</v>
      </c>
      <c r="C427" s="0" t="s">
        <v>19</v>
      </c>
      <c r="D427" s="0" t="s">
        <v>81</v>
      </c>
      <c r="E427" s="58" t="str">
        <f aca="false">VLOOKUP(D427,Models!$A$2:$B$13,2,0)</f>
        <v>43-inch Smart TV</v>
      </c>
      <c r="F427" s="0" t="s">
        <v>69</v>
      </c>
      <c r="G427" s="58" t="str">
        <f aca="false">VLOOKUP(F427,Countries!$A$2:$B$11,2,0)</f>
        <v>Egypt</v>
      </c>
      <c r="H427" s="13" t="n">
        <v>38</v>
      </c>
      <c r="I427" s="13" t="n">
        <v>296400</v>
      </c>
      <c r="J427" s="0" t="s">
        <v>12</v>
      </c>
      <c r="K427" s="0" t="s">
        <v>490</v>
      </c>
    </row>
    <row r="428" customFormat="false" ht="12.8" hidden="false" customHeight="false" outlineLevel="0" collapsed="false">
      <c r="A428" s="57" t="n">
        <v>46233</v>
      </c>
      <c r="B428" s="0" t="s">
        <v>516</v>
      </c>
      <c r="C428" s="0" t="s">
        <v>19</v>
      </c>
      <c r="D428" s="0" t="s">
        <v>85</v>
      </c>
      <c r="E428" s="58" t="str">
        <f aca="false">VLOOKUP(D428,Models!$A$2:$B$13,2,0)</f>
        <v>75-inch 4K TV</v>
      </c>
      <c r="F428" s="0" t="s">
        <v>69</v>
      </c>
      <c r="G428" s="58" t="str">
        <f aca="false">VLOOKUP(F428,Countries!$A$2:$B$11,2,0)</f>
        <v>Egypt</v>
      </c>
      <c r="H428" s="13" t="n">
        <v>11</v>
      </c>
      <c r="I428" s="13" t="n">
        <v>343200</v>
      </c>
      <c r="J428" s="0" t="s">
        <v>12</v>
      </c>
      <c r="K428" s="0" t="s">
        <v>490</v>
      </c>
    </row>
    <row r="429" customFormat="false" ht="12.8" hidden="false" customHeight="false" outlineLevel="0" collapsed="false">
      <c r="A429" s="57" t="n">
        <v>46233</v>
      </c>
      <c r="B429" s="0" t="s">
        <v>517</v>
      </c>
      <c r="C429" s="0" t="s">
        <v>19</v>
      </c>
      <c r="D429" s="0" t="s">
        <v>88</v>
      </c>
      <c r="E429" s="58" t="str">
        <f aca="false">VLOOKUP(D429,Models!$A$2:$B$13,2,0)</f>
        <v>24-inch HD TV</v>
      </c>
      <c r="F429" s="0" t="s">
        <v>69</v>
      </c>
      <c r="G429" s="58" t="str">
        <f aca="false">VLOOKUP(F429,Countries!$A$2:$B$11,2,0)</f>
        <v>Egypt</v>
      </c>
      <c r="H429" s="13" t="n">
        <v>36</v>
      </c>
      <c r="I429" s="13" t="n">
        <v>104400</v>
      </c>
      <c r="J429" s="0" t="s">
        <v>12</v>
      </c>
      <c r="K429" s="0" t="s">
        <v>490</v>
      </c>
    </row>
    <row r="430" customFormat="false" ht="12.8" hidden="false" customHeight="false" outlineLevel="0" collapsed="false">
      <c r="A430" s="57" t="n">
        <v>46233</v>
      </c>
      <c r="B430" s="0" t="s">
        <v>518</v>
      </c>
      <c r="C430" s="0" t="s">
        <v>20</v>
      </c>
      <c r="D430" s="0" t="s">
        <v>64</v>
      </c>
      <c r="E430" s="58" t="str">
        <f aca="false">VLOOKUP(D430,Models!$A$2:$B$13,2,0)</f>
        <v>32-inch Smart TV</v>
      </c>
      <c r="F430" s="0" t="s">
        <v>69</v>
      </c>
      <c r="G430" s="58" t="str">
        <f aca="false">VLOOKUP(F430,Countries!$A$2:$B$11,2,0)</f>
        <v>Egypt</v>
      </c>
      <c r="H430" s="13" t="n">
        <v>52</v>
      </c>
      <c r="I430" s="13" t="n">
        <v>239200</v>
      </c>
      <c r="J430" s="0" t="s">
        <v>12</v>
      </c>
      <c r="K430" s="0" t="s">
        <v>490</v>
      </c>
    </row>
    <row r="431" customFormat="false" ht="12.8" hidden="false" customHeight="false" outlineLevel="0" collapsed="false">
      <c r="A431" s="57" t="n">
        <v>46233</v>
      </c>
      <c r="B431" s="0" t="s">
        <v>519</v>
      </c>
      <c r="C431" s="0" t="s">
        <v>20</v>
      </c>
      <c r="D431" s="0" t="s">
        <v>64</v>
      </c>
      <c r="E431" s="58" t="str">
        <f aca="false">VLOOKUP(D431,Models!$A$2:$B$13,2,0)</f>
        <v>32-inch Smart TV</v>
      </c>
      <c r="F431" s="0" t="s">
        <v>69</v>
      </c>
      <c r="G431" s="58" t="str">
        <f aca="false">VLOOKUP(F431,Countries!$A$2:$B$11,2,0)</f>
        <v>Egypt</v>
      </c>
      <c r="H431" s="13" t="n">
        <v>31</v>
      </c>
      <c r="I431" s="13" t="n">
        <v>142600</v>
      </c>
      <c r="J431" s="0" t="s">
        <v>12</v>
      </c>
      <c r="K431" s="0" t="s">
        <v>490</v>
      </c>
    </row>
    <row r="432" customFormat="false" ht="12.8" hidden="false" customHeight="false" outlineLevel="0" collapsed="false">
      <c r="A432" s="57" t="n">
        <v>46233</v>
      </c>
      <c r="B432" s="0" t="s">
        <v>520</v>
      </c>
      <c r="C432" s="0" t="s">
        <v>20</v>
      </c>
      <c r="D432" s="0" t="s">
        <v>68</v>
      </c>
      <c r="E432" s="58" t="str">
        <f aca="false">VLOOKUP(D432,Models!$A$2:$B$13,2,0)</f>
        <v>50-inch 4K TV</v>
      </c>
      <c r="F432" s="0" t="s">
        <v>65</v>
      </c>
      <c r="G432" s="58" t="str">
        <f aca="false">VLOOKUP(F432,Countries!$A$2:$B$11,2,0)</f>
        <v>Jordan</v>
      </c>
      <c r="H432" s="13" t="n">
        <v>12</v>
      </c>
      <c r="I432" s="13" t="n">
        <v>124800</v>
      </c>
      <c r="J432" s="0" t="s">
        <v>12</v>
      </c>
      <c r="K432" s="0" t="s">
        <v>490</v>
      </c>
    </row>
    <row r="433" customFormat="false" ht="12.8" hidden="false" customHeight="false" outlineLevel="0" collapsed="false">
      <c r="A433" s="57" t="n">
        <v>46233</v>
      </c>
      <c r="B433" s="0" t="s">
        <v>521</v>
      </c>
      <c r="C433" s="0" t="s">
        <v>20</v>
      </c>
      <c r="D433" s="0" t="s">
        <v>85</v>
      </c>
      <c r="E433" s="58" t="str">
        <f aca="false">VLOOKUP(D433,Models!$A$2:$B$13,2,0)</f>
        <v>75-inch 4K TV</v>
      </c>
      <c r="F433" s="0" t="s">
        <v>177</v>
      </c>
      <c r="G433" s="58" t="str">
        <f aca="false">VLOOKUP(F433,Countries!$A$2:$B$11,2,0)</f>
        <v>Saudi Arabia</v>
      </c>
      <c r="H433" s="13" t="n">
        <v>7</v>
      </c>
      <c r="I433" s="13" t="n">
        <v>218400</v>
      </c>
      <c r="J433" s="0" t="s">
        <v>12</v>
      </c>
      <c r="K433" s="0" t="s">
        <v>490</v>
      </c>
    </row>
    <row r="434" customFormat="false" ht="12.8" hidden="false" customHeight="false" outlineLevel="0" collapsed="false">
      <c r="A434" s="57" t="n">
        <v>46233</v>
      </c>
      <c r="B434" s="0" t="s">
        <v>522</v>
      </c>
      <c r="C434" s="0" t="s">
        <v>21</v>
      </c>
      <c r="D434" s="0" t="s">
        <v>68</v>
      </c>
      <c r="E434" s="58" t="str">
        <f aca="false">VLOOKUP(D434,Models!$A$2:$B$13,2,0)</f>
        <v>50-inch 4K TV</v>
      </c>
      <c r="F434" s="0" t="s">
        <v>79</v>
      </c>
      <c r="G434" s="58" t="str">
        <f aca="false">VLOOKUP(F434,Countries!$A$2:$B$11,2,0)</f>
        <v>Iraq</v>
      </c>
      <c r="H434" s="13" t="n">
        <v>34</v>
      </c>
      <c r="I434" s="13" t="n">
        <v>353600</v>
      </c>
      <c r="J434" s="0" t="s">
        <v>12</v>
      </c>
      <c r="K434" s="0" t="s">
        <v>490</v>
      </c>
    </row>
    <row r="435" customFormat="false" ht="12.8" hidden="false" customHeight="false" outlineLevel="0" collapsed="false">
      <c r="A435" s="57" t="n">
        <v>46233</v>
      </c>
      <c r="B435" s="0" t="s">
        <v>523</v>
      </c>
      <c r="C435" s="0" t="s">
        <v>21</v>
      </c>
      <c r="D435" s="0" t="s">
        <v>71</v>
      </c>
      <c r="E435" s="58" t="str">
        <f aca="false">VLOOKUP(D435,Models!$A$2:$B$13,2,0)</f>
        <v>43-inch Full HD TV</v>
      </c>
      <c r="F435" s="0" t="s">
        <v>103</v>
      </c>
      <c r="G435" s="58" t="str">
        <f aca="false">VLOOKUP(F435,Countries!$A$2:$B$11,2,0)</f>
        <v>Morocco</v>
      </c>
      <c r="H435" s="13" t="n">
        <v>46</v>
      </c>
      <c r="I435" s="13" t="n">
        <v>317400</v>
      </c>
      <c r="J435" s="0" t="s">
        <v>12</v>
      </c>
      <c r="K435" s="0" t="s">
        <v>490</v>
      </c>
    </row>
    <row r="436" customFormat="false" ht="12.8" hidden="false" customHeight="false" outlineLevel="0" collapsed="false">
      <c r="A436" s="57" t="n">
        <v>46235</v>
      </c>
      <c r="B436" s="0" t="s">
        <v>524</v>
      </c>
      <c r="C436" s="0" t="s">
        <v>13</v>
      </c>
      <c r="D436" s="0" t="s">
        <v>85</v>
      </c>
      <c r="E436" s="58" t="str">
        <f aca="false">VLOOKUP(D436,Models!$A$2:$B$13,2,0)</f>
        <v>75-inch 4K TV</v>
      </c>
      <c r="F436" s="0" t="s">
        <v>98</v>
      </c>
      <c r="G436" s="58" t="str">
        <f aca="false">VLOOKUP(F436,Countries!$A$2:$B$11,2,0)</f>
        <v>Libya</v>
      </c>
      <c r="H436" s="13" t="n">
        <v>12</v>
      </c>
      <c r="I436" s="13" t="n">
        <v>374400</v>
      </c>
      <c r="J436" s="0" t="s">
        <v>14</v>
      </c>
      <c r="K436" s="0" t="s">
        <v>490</v>
      </c>
    </row>
    <row r="437" customFormat="false" ht="12.8" hidden="false" customHeight="false" outlineLevel="0" collapsed="false">
      <c r="A437" s="57" t="n">
        <v>46235</v>
      </c>
      <c r="B437" s="0" t="s">
        <v>525</v>
      </c>
      <c r="C437" s="0" t="s">
        <v>13</v>
      </c>
      <c r="D437" s="0" t="s">
        <v>85</v>
      </c>
      <c r="E437" s="58" t="str">
        <f aca="false">VLOOKUP(D437,Models!$A$2:$B$13,2,0)</f>
        <v>75-inch 4K TV</v>
      </c>
      <c r="F437" s="0" t="s">
        <v>98</v>
      </c>
      <c r="G437" s="58" t="str">
        <f aca="false">VLOOKUP(F437,Countries!$A$2:$B$11,2,0)</f>
        <v>Libya</v>
      </c>
      <c r="H437" s="13" t="n">
        <v>8</v>
      </c>
      <c r="I437" s="13" t="n">
        <v>249600</v>
      </c>
      <c r="J437" s="0" t="s">
        <v>14</v>
      </c>
      <c r="K437" s="0" t="s">
        <v>490</v>
      </c>
    </row>
    <row r="438" customFormat="false" ht="12.8" hidden="false" customHeight="false" outlineLevel="0" collapsed="false">
      <c r="A438" s="57" t="n">
        <v>46235</v>
      </c>
      <c r="B438" s="0" t="s">
        <v>526</v>
      </c>
      <c r="C438" s="0" t="s">
        <v>15</v>
      </c>
      <c r="D438" s="0" t="s">
        <v>71</v>
      </c>
      <c r="E438" s="58" t="str">
        <f aca="false">VLOOKUP(D438,Models!$A$2:$B$13,2,0)</f>
        <v>43-inch Full HD TV</v>
      </c>
      <c r="F438" s="0" t="s">
        <v>69</v>
      </c>
      <c r="G438" s="58" t="str">
        <f aca="false">VLOOKUP(F438,Countries!$A$2:$B$11,2,0)</f>
        <v>Egypt</v>
      </c>
      <c r="H438" s="13" t="n">
        <v>17</v>
      </c>
      <c r="I438" s="13" t="n">
        <v>117300</v>
      </c>
      <c r="J438" s="0" t="s">
        <v>14</v>
      </c>
      <c r="K438" s="0" t="s">
        <v>490</v>
      </c>
    </row>
    <row r="439" customFormat="false" ht="12.8" hidden="false" customHeight="false" outlineLevel="0" collapsed="false">
      <c r="A439" s="57" t="n">
        <v>46235</v>
      </c>
      <c r="B439" s="0" t="s">
        <v>527</v>
      </c>
      <c r="C439" s="0" t="s">
        <v>17</v>
      </c>
      <c r="D439" s="0" t="s">
        <v>92</v>
      </c>
      <c r="E439" s="58" t="str">
        <f aca="false">VLOOKUP(D439,Models!$A$2:$B$13,2,0)</f>
        <v>65-inch 4K TV</v>
      </c>
      <c r="F439" s="0" t="s">
        <v>69</v>
      </c>
      <c r="G439" s="58" t="str">
        <f aca="false">VLOOKUP(F439,Countries!$A$2:$B$11,2,0)</f>
        <v>Egypt</v>
      </c>
      <c r="H439" s="13" t="n">
        <v>9</v>
      </c>
      <c r="I439" s="13" t="n">
        <v>178200</v>
      </c>
      <c r="J439" s="0" t="s">
        <v>14</v>
      </c>
      <c r="K439" s="0" t="s">
        <v>490</v>
      </c>
    </row>
    <row r="440" customFormat="false" ht="12.8" hidden="false" customHeight="false" outlineLevel="0" collapsed="false">
      <c r="A440" s="57" t="n">
        <v>46235</v>
      </c>
      <c r="B440" s="0" t="s">
        <v>528</v>
      </c>
      <c r="C440" s="0" t="s">
        <v>17</v>
      </c>
      <c r="D440" s="0" t="s">
        <v>74</v>
      </c>
      <c r="E440" s="58" t="str">
        <f aca="false">VLOOKUP(D440,Models!$A$2:$B$13,2,0)</f>
        <v>40-inch Full HD TV</v>
      </c>
      <c r="F440" s="0" t="s">
        <v>98</v>
      </c>
      <c r="G440" s="58" t="str">
        <f aca="false">VLOOKUP(F440,Countries!$A$2:$B$11,2,0)</f>
        <v>Libya</v>
      </c>
      <c r="H440" s="13" t="n">
        <v>15</v>
      </c>
      <c r="I440" s="13" t="n">
        <v>93000</v>
      </c>
      <c r="J440" s="0" t="s">
        <v>14</v>
      </c>
      <c r="K440" s="0" t="s">
        <v>490</v>
      </c>
    </row>
    <row r="441" customFormat="false" ht="12.8" hidden="false" customHeight="false" outlineLevel="0" collapsed="false">
      <c r="A441" s="57" t="n">
        <v>46235</v>
      </c>
      <c r="B441" s="0" t="s">
        <v>529</v>
      </c>
      <c r="C441" s="0" t="s">
        <v>19</v>
      </c>
      <c r="D441" s="0" t="s">
        <v>74</v>
      </c>
      <c r="E441" s="58" t="str">
        <f aca="false">VLOOKUP(D441,Models!$A$2:$B$13,2,0)</f>
        <v>40-inch Full HD TV</v>
      </c>
      <c r="F441" s="0" t="s">
        <v>69</v>
      </c>
      <c r="G441" s="58" t="str">
        <f aca="false">VLOOKUP(F441,Countries!$A$2:$B$11,2,0)</f>
        <v>Egypt</v>
      </c>
      <c r="H441" s="13" t="n">
        <v>23</v>
      </c>
      <c r="I441" s="13" t="n">
        <v>142600</v>
      </c>
      <c r="J441" s="0" t="s">
        <v>14</v>
      </c>
      <c r="K441" s="0" t="s">
        <v>490</v>
      </c>
    </row>
    <row r="442" customFormat="false" ht="12.8" hidden="false" customHeight="false" outlineLevel="0" collapsed="false">
      <c r="A442" s="57" t="n">
        <v>46235</v>
      </c>
      <c r="B442" s="0" t="s">
        <v>530</v>
      </c>
      <c r="C442" s="0" t="s">
        <v>20</v>
      </c>
      <c r="D442" s="0" t="s">
        <v>109</v>
      </c>
      <c r="E442" s="58" t="str">
        <f aca="false">VLOOKUP(D442,Models!$A$2:$B$13,2,0)</f>
        <v>55-inch QLED TV</v>
      </c>
      <c r="F442" s="0" t="s">
        <v>69</v>
      </c>
      <c r="G442" s="58" t="str">
        <f aca="false">VLOOKUP(F442,Countries!$A$2:$B$11,2,0)</f>
        <v>Egypt</v>
      </c>
      <c r="H442" s="13" t="n">
        <v>26</v>
      </c>
      <c r="I442" s="13" t="n">
        <v>405600</v>
      </c>
      <c r="J442" s="0" t="s">
        <v>14</v>
      </c>
      <c r="K442" s="0" t="s">
        <v>490</v>
      </c>
    </row>
    <row r="443" customFormat="false" ht="12.8" hidden="false" customHeight="false" outlineLevel="0" collapsed="false">
      <c r="A443" s="57" t="n">
        <v>46235</v>
      </c>
      <c r="B443" s="0" t="s">
        <v>531</v>
      </c>
      <c r="C443" s="0" t="s">
        <v>20</v>
      </c>
      <c r="D443" s="0" t="s">
        <v>85</v>
      </c>
      <c r="E443" s="58" t="str">
        <f aca="false">VLOOKUP(D443,Models!$A$2:$B$13,2,0)</f>
        <v>75-inch 4K TV</v>
      </c>
      <c r="F443" s="0" t="s">
        <v>69</v>
      </c>
      <c r="G443" s="58" t="str">
        <f aca="false">VLOOKUP(F443,Countries!$A$2:$B$11,2,0)</f>
        <v>Egypt</v>
      </c>
      <c r="H443" s="13" t="n">
        <v>15</v>
      </c>
      <c r="I443" s="13" t="n">
        <v>468000</v>
      </c>
      <c r="J443" s="0" t="s">
        <v>14</v>
      </c>
      <c r="K443" s="0" t="s">
        <v>490</v>
      </c>
    </row>
    <row r="444" customFormat="false" ht="12.8" hidden="false" customHeight="false" outlineLevel="0" collapsed="false">
      <c r="A444" s="57" t="n">
        <v>46235</v>
      </c>
      <c r="B444" s="0" t="s">
        <v>532</v>
      </c>
      <c r="C444" s="0" t="s">
        <v>21</v>
      </c>
      <c r="D444" s="0" t="s">
        <v>77</v>
      </c>
      <c r="E444" s="58" t="str">
        <f aca="false">VLOOKUP(D444,Models!$A$2:$B$13,2,0)</f>
        <v>65-inch QLED TV</v>
      </c>
      <c r="F444" s="0" t="s">
        <v>69</v>
      </c>
      <c r="G444" s="58" t="str">
        <f aca="false">VLOOKUP(F444,Countries!$A$2:$B$11,2,0)</f>
        <v>Egypt</v>
      </c>
      <c r="H444" s="13" t="n">
        <v>16</v>
      </c>
      <c r="I444" s="13" t="n">
        <v>392000</v>
      </c>
      <c r="J444" s="0" t="s">
        <v>14</v>
      </c>
      <c r="K444" s="0" t="s">
        <v>490</v>
      </c>
    </row>
    <row r="445" customFormat="false" ht="12.8" hidden="false" customHeight="false" outlineLevel="0" collapsed="false">
      <c r="A445" s="57" t="n">
        <v>46235</v>
      </c>
      <c r="B445" s="0" t="s">
        <v>533</v>
      </c>
      <c r="C445" s="0" t="s">
        <v>21</v>
      </c>
      <c r="D445" s="0" t="s">
        <v>95</v>
      </c>
      <c r="E445" s="58" t="str">
        <f aca="false">VLOOKUP(D445,Models!$A$2:$B$13,2,0)</f>
        <v>32-inch HD TV</v>
      </c>
      <c r="F445" s="0" t="s">
        <v>69</v>
      </c>
      <c r="G445" s="58" t="str">
        <f aca="false">VLOOKUP(F445,Countries!$A$2:$B$11,2,0)</f>
        <v>Egypt</v>
      </c>
      <c r="H445" s="13" t="n">
        <v>27</v>
      </c>
      <c r="I445" s="13" t="n">
        <v>105300</v>
      </c>
      <c r="J445" s="0" t="s">
        <v>14</v>
      </c>
      <c r="K445" s="0" t="s">
        <v>490</v>
      </c>
    </row>
    <row r="446" customFormat="false" ht="12.8" hidden="false" customHeight="false" outlineLevel="0" collapsed="false">
      <c r="A446" s="57" t="n">
        <v>46235</v>
      </c>
      <c r="B446" s="0" t="s">
        <v>534</v>
      </c>
      <c r="C446" s="0" t="s">
        <v>21</v>
      </c>
      <c r="D446" s="0" t="s">
        <v>64</v>
      </c>
      <c r="E446" s="58" t="str">
        <f aca="false">VLOOKUP(D446,Models!$A$2:$B$13,2,0)</f>
        <v>32-inch Smart TV</v>
      </c>
      <c r="F446" s="0" t="s">
        <v>69</v>
      </c>
      <c r="G446" s="58" t="str">
        <f aca="false">VLOOKUP(F446,Countries!$A$2:$B$11,2,0)</f>
        <v>Egypt</v>
      </c>
      <c r="H446" s="13" t="n">
        <v>16</v>
      </c>
      <c r="I446" s="13" t="n">
        <v>73600</v>
      </c>
      <c r="J446" s="0" t="s">
        <v>14</v>
      </c>
      <c r="K446" s="0" t="s">
        <v>490</v>
      </c>
    </row>
    <row r="447" customFormat="false" ht="12.8" hidden="false" customHeight="false" outlineLevel="0" collapsed="false">
      <c r="A447" s="57" t="n">
        <v>46236</v>
      </c>
      <c r="B447" s="0" t="s">
        <v>535</v>
      </c>
      <c r="C447" s="0" t="s">
        <v>13</v>
      </c>
      <c r="D447" s="0" t="s">
        <v>64</v>
      </c>
      <c r="E447" s="58" t="str">
        <f aca="false">VLOOKUP(D447,Models!$A$2:$B$13,2,0)</f>
        <v>32-inch Smart TV</v>
      </c>
      <c r="F447" s="0" t="s">
        <v>101</v>
      </c>
      <c r="G447" s="58" t="str">
        <f aca="false">VLOOKUP(F447,Countries!$A$2:$B$11,2,0)</f>
        <v>Kuwait</v>
      </c>
      <c r="H447" s="13" t="n">
        <v>59</v>
      </c>
      <c r="I447" s="13" t="n">
        <v>271400</v>
      </c>
      <c r="J447" s="0" t="s">
        <v>14</v>
      </c>
      <c r="K447" s="0" t="s">
        <v>490</v>
      </c>
    </row>
    <row r="448" customFormat="false" ht="12.8" hidden="false" customHeight="false" outlineLevel="0" collapsed="false">
      <c r="A448" s="57" t="n">
        <v>46236</v>
      </c>
      <c r="B448" s="0" t="s">
        <v>536</v>
      </c>
      <c r="C448" s="0" t="s">
        <v>13</v>
      </c>
      <c r="D448" s="0" t="s">
        <v>88</v>
      </c>
      <c r="E448" s="58" t="str">
        <f aca="false">VLOOKUP(D448,Models!$A$2:$B$13,2,0)</f>
        <v>24-inch HD TV</v>
      </c>
      <c r="F448" s="0" t="s">
        <v>69</v>
      </c>
      <c r="G448" s="58" t="str">
        <f aca="false">VLOOKUP(F448,Countries!$A$2:$B$11,2,0)</f>
        <v>Egypt</v>
      </c>
      <c r="H448" s="13" t="n">
        <v>57</v>
      </c>
      <c r="I448" s="13" t="n">
        <v>165300</v>
      </c>
      <c r="J448" s="0" t="s">
        <v>14</v>
      </c>
      <c r="K448" s="0" t="s">
        <v>490</v>
      </c>
    </row>
    <row r="449" customFormat="false" ht="12.8" hidden="false" customHeight="false" outlineLevel="0" collapsed="false">
      <c r="A449" s="57" t="n">
        <v>46236</v>
      </c>
      <c r="B449" s="0" t="s">
        <v>537</v>
      </c>
      <c r="C449" s="0" t="s">
        <v>13</v>
      </c>
      <c r="D449" s="0" t="s">
        <v>88</v>
      </c>
      <c r="E449" s="58" t="str">
        <f aca="false">VLOOKUP(D449,Models!$A$2:$B$13,2,0)</f>
        <v>24-inch HD TV</v>
      </c>
      <c r="F449" s="0" t="s">
        <v>101</v>
      </c>
      <c r="G449" s="58" t="str">
        <f aca="false">VLOOKUP(F449,Countries!$A$2:$B$11,2,0)</f>
        <v>Kuwait</v>
      </c>
      <c r="H449" s="13" t="n">
        <v>28</v>
      </c>
      <c r="I449" s="13" t="n">
        <v>81200</v>
      </c>
      <c r="J449" s="0" t="s">
        <v>14</v>
      </c>
      <c r="K449" s="0" t="s">
        <v>490</v>
      </c>
    </row>
    <row r="450" customFormat="false" ht="12.8" hidden="false" customHeight="false" outlineLevel="0" collapsed="false">
      <c r="A450" s="57" t="n">
        <v>46236</v>
      </c>
      <c r="B450" s="0" t="s">
        <v>538</v>
      </c>
      <c r="C450" s="0" t="s">
        <v>13</v>
      </c>
      <c r="D450" s="0" t="s">
        <v>74</v>
      </c>
      <c r="E450" s="58" t="str">
        <f aca="false">VLOOKUP(D450,Models!$A$2:$B$13,2,0)</f>
        <v>40-inch Full HD TV</v>
      </c>
      <c r="F450" s="0" t="s">
        <v>177</v>
      </c>
      <c r="G450" s="58" t="str">
        <f aca="false">VLOOKUP(F450,Countries!$A$2:$B$11,2,0)</f>
        <v>Saudi Arabia</v>
      </c>
      <c r="H450" s="13" t="n">
        <v>5</v>
      </c>
      <c r="I450" s="13" t="n">
        <v>31000</v>
      </c>
      <c r="J450" s="0" t="s">
        <v>14</v>
      </c>
      <c r="K450" s="0" t="s">
        <v>490</v>
      </c>
    </row>
    <row r="451" customFormat="false" ht="12.8" hidden="false" customHeight="false" outlineLevel="0" collapsed="false">
      <c r="A451" s="57" t="n">
        <v>46236</v>
      </c>
      <c r="B451" s="0" t="s">
        <v>539</v>
      </c>
      <c r="C451" s="0" t="s">
        <v>13</v>
      </c>
      <c r="D451" s="0" t="s">
        <v>77</v>
      </c>
      <c r="E451" s="58" t="str">
        <f aca="false">VLOOKUP(D451,Models!$A$2:$B$13,2,0)</f>
        <v>65-inch QLED TV</v>
      </c>
      <c r="F451" s="0" t="s">
        <v>79</v>
      </c>
      <c r="G451" s="58" t="str">
        <f aca="false">VLOOKUP(F451,Countries!$A$2:$B$11,2,0)</f>
        <v>Iraq</v>
      </c>
      <c r="H451" s="13" t="n">
        <v>19</v>
      </c>
      <c r="I451" s="13" t="n">
        <v>465500</v>
      </c>
      <c r="J451" s="0" t="s">
        <v>14</v>
      </c>
      <c r="K451" s="0" t="s">
        <v>490</v>
      </c>
    </row>
    <row r="452" customFormat="false" ht="12.8" hidden="false" customHeight="false" outlineLevel="0" collapsed="false">
      <c r="A452" s="57" t="n">
        <v>46236</v>
      </c>
      <c r="B452" s="0" t="s">
        <v>540</v>
      </c>
      <c r="C452" s="0" t="s">
        <v>15</v>
      </c>
      <c r="D452" s="0" t="s">
        <v>90</v>
      </c>
      <c r="E452" s="58" t="str">
        <f aca="false">VLOOKUP(D452,Models!$A$2:$B$13,2,0)</f>
        <v>55-inch 4K TV</v>
      </c>
      <c r="F452" s="0" t="s">
        <v>69</v>
      </c>
      <c r="G452" s="58" t="str">
        <f aca="false">VLOOKUP(F452,Countries!$A$2:$B$11,2,0)</f>
        <v>Egypt</v>
      </c>
      <c r="H452" s="13" t="n">
        <v>8</v>
      </c>
      <c r="I452" s="13" t="n">
        <v>98400</v>
      </c>
      <c r="J452" s="0" t="s">
        <v>14</v>
      </c>
      <c r="K452" s="0" t="s">
        <v>490</v>
      </c>
    </row>
    <row r="453" customFormat="false" ht="12.8" hidden="false" customHeight="false" outlineLevel="0" collapsed="false">
      <c r="A453" s="57" t="n">
        <v>46236</v>
      </c>
      <c r="B453" s="0" t="s">
        <v>541</v>
      </c>
      <c r="C453" s="0" t="s">
        <v>15</v>
      </c>
      <c r="D453" s="0" t="s">
        <v>88</v>
      </c>
      <c r="E453" s="58" t="str">
        <f aca="false">VLOOKUP(D453,Models!$A$2:$B$13,2,0)</f>
        <v>24-inch HD TV</v>
      </c>
      <c r="F453" s="0" t="s">
        <v>177</v>
      </c>
      <c r="G453" s="58" t="str">
        <f aca="false">VLOOKUP(F453,Countries!$A$2:$B$11,2,0)</f>
        <v>Saudi Arabia</v>
      </c>
      <c r="H453" s="13" t="n">
        <v>11</v>
      </c>
      <c r="I453" s="13" t="n">
        <v>31900</v>
      </c>
      <c r="J453" s="0" t="s">
        <v>14</v>
      </c>
      <c r="K453" s="0" t="s">
        <v>490</v>
      </c>
    </row>
    <row r="454" customFormat="false" ht="12.8" hidden="false" customHeight="false" outlineLevel="0" collapsed="false">
      <c r="A454" s="57" t="n">
        <v>46236</v>
      </c>
      <c r="B454" s="0" t="s">
        <v>542</v>
      </c>
      <c r="C454" s="0" t="s">
        <v>15</v>
      </c>
      <c r="D454" s="0" t="s">
        <v>74</v>
      </c>
      <c r="E454" s="58" t="str">
        <f aca="false">VLOOKUP(D454,Models!$A$2:$B$13,2,0)</f>
        <v>40-inch Full HD TV</v>
      </c>
      <c r="F454" s="0" t="s">
        <v>69</v>
      </c>
      <c r="G454" s="58" t="str">
        <f aca="false">VLOOKUP(F454,Countries!$A$2:$B$11,2,0)</f>
        <v>Egypt</v>
      </c>
      <c r="H454" s="13" t="n">
        <v>28</v>
      </c>
      <c r="I454" s="13" t="n">
        <v>173600</v>
      </c>
      <c r="J454" s="0" t="s">
        <v>14</v>
      </c>
      <c r="K454" s="0" t="s">
        <v>490</v>
      </c>
    </row>
    <row r="455" customFormat="false" ht="12.8" hidden="false" customHeight="false" outlineLevel="0" collapsed="false">
      <c r="A455" s="57" t="n">
        <v>46236</v>
      </c>
      <c r="B455" s="0" t="s">
        <v>543</v>
      </c>
      <c r="C455" s="0" t="s">
        <v>15</v>
      </c>
      <c r="D455" s="0" t="s">
        <v>77</v>
      </c>
      <c r="E455" s="58" t="str">
        <f aca="false">VLOOKUP(D455,Models!$A$2:$B$13,2,0)</f>
        <v>65-inch QLED TV</v>
      </c>
      <c r="F455" s="0" t="s">
        <v>79</v>
      </c>
      <c r="G455" s="58" t="str">
        <f aca="false">VLOOKUP(F455,Countries!$A$2:$B$11,2,0)</f>
        <v>Iraq</v>
      </c>
      <c r="H455" s="13" t="n">
        <v>8</v>
      </c>
      <c r="I455" s="13" t="n">
        <v>196000</v>
      </c>
      <c r="J455" s="0" t="s">
        <v>14</v>
      </c>
      <c r="K455" s="0" t="s">
        <v>490</v>
      </c>
    </row>
    <row r="456" customFormat="false" ht="12.8" hidden="false" customHeight="false" outlineLevel="0" collapsed="false">
      <c r="A456" s="57" t="n">
        <v>46236</v>
      </c>
      <c r="B456" s="0" t="s">
        <v>544</v>
      </c>
      <c r="C456" s="0" t="s">
        <v>17</v>
      </c>
      <c r="D456" s="0" t="s">
        <v>92</v>
      </c>
      <c r="E456" s="58" t="str">
        <f aca="false">VLOOKUP(D456,Models!$A$2:$B$13,2,0)</f>
        <v>65-inch 4K TV</v>
      </c>
      <c r="F456" s="0" t="s">
        <v>101</v>
      </c>
      <c r="G456" s="58" t="str">
        <f aca="false">VLOOKUP(F456,Countries!$A$2:$B$11,2,0)</f>
        <v>Kuwait</v>
      </c>
      <c r="H456" s="13" t="n">
        <v>13</v>
      </c>
      <c r="I456" s="13" t="n">
        <v>257400</v>
      </c>
      <c r="J456" s="0" t="s">
        <v>14</v>
      </c>
      <c r="K456" s="0" t="s">
        <v>490</v>
      </c>
    </row>
    <row r="457" customFormat="false" ht="12.8" hidden="false" customHeight="false" outlineLevel="0" collapsed="false">
      <c r="A457" s="57" t="n">
        <v>46236</v>
      </c>
      <c r="B457" s="0" t="s">
        <v>545</v>
      </c>
      <c r="C457" s="0" t="s">
        <v>17</v>
      </c>
      <c r="D457" s="0" t="s">
        <v>88</v>
      </c>
      <c r="E457" s="58" t="str">
        <f aca="false">VLOOKUP(D457,Models!$A$2:$B$13,2,0)</f>
        <v>24-inch HD TV</v>
      </c>
      <c r="F457" s="0" t="s">
        <v>98</v>
      </c>
      <c r="G457" s="58" t="str">
        <f aca="false">VLOOKUP(F457,Countries!$A$2:$B$11,2,0)</f>
        <v>Libya</v>
      </c>
      <c r="H457" s="13" t="n">
        <v>47</v>
      </c>
      <c r="I457" s="13" t="n">
        <v>136300</v>
      </c>
      <c r="J457" s="0" t="s">
        <v>14</v>
      </c>
      <c r="K457" s="0" t="s">
        <v>490</v>
      </c>
    </row>
    <row r="458" customFormat="false" ht="12.8" hidden="false" customHeight="false" outlineLevel="0" collapsed="false">
      <c r="A458" s="57" t="n">
        <v>46236</v>
      </c>
      <c r="B458" s="0" t="s">
        <v>546</v>
      </c>
      <c r="C458" s="0" t="s">
        <v>19</v>
      </c>
      <c r="D458" s="0" t="s">
        <v>64</v>
      </c>
      <c r="E458" s="58" t="str">
        <f aca="false">VLOOKUP(D458,Models!$A$2:$B$13,2,0)</f>
        <v>32-inch Smart TV</v>
      </c>
      <c r="F458" s="0" t="s">
        <v>79</v>
      </c>
      <c r="G458" s="58" t="str">
        <f aca="false">VLOOKUP(F458,Countries!$A$2:$B$11,2,0)</f>
        <v>Iraq</v>
      </c>
      <c r="H458" s="13" t="n">
        <v>45</v>
      </c>
      <c r="I458" s="13" t="n">
        <v>207000</v>
      </c>
      <c r="J458" s="0" t="s">
        <v>14</v>
      </c>
      <c r="K458" s="0" t="s">
        <v>490</v>
      </c>
    </row>
    <row r="459" customFormat="false" ht="12.8" hidden="false" customHeight="false" outlineLevel="0" collapsed="false">
      <c r="A459" s="57" t="n">
        <v>46236</v>
      </c>
      <c r="B459" s="0" t="s">
        <v>547</v>
      </c>
      <c r="C459" s="0" t="s">
        <v>19</v>
      </c>
      <c r="D459" s="0" t="s">
        <v>109</v>
      </c>
      <c r="E459" s="58" t="str">
        <f aca="false">VLOOKUP(D459,Models!$A$2:$B$13,2,0)</f>
        <v>55-inch QLED TV</v>
      </c>
      <c r="F459" s="0" t="s">
        <v>75</v>
      </c>
      <c r="G459" s="58" t="str">
        <f aca="false">VLOOKUP(F459,Countries!$A$2:$B$11,2,0)</f>
        <v>Nigeria</v>
      </c>
      <c r="H459" s="13" t="n">
        <v>31</v>
      </c>
      <c r="I459" s="13" t="n">
        <v>483600</v>
      </c>
      <c r="J459" s="0" t="s">
        <v>14</v>
      </c>
      <c r="K459" s="0" t="s">
        <v>490</v>
      </c>
    </row>
    <row r="460" customFormat="false" ht="12.8" hidden="false" customHeight="false" outlineLevel="0" collapsed="false">
      <c r="A460" s="57" t="n">
        <v>46236</v>
      </c>
      <c r="B460" s="0" t="s">
        <v>548</v>
      </c>
      <c r="C460" s="0" t="s">
        <v>19</v>
      </c>
      <c r="D460" s="0" t="s">
        <v>71</v>
      </c>
      <c r="E460" s="58" t="str">
        <f aca="false">VLOOKUP(D460,Models!$A$2:$B$13,2,0)</f>
        <v>43-inch Full HD TV</v>
      </c>
      <c r="F460" s="0" t="s">
        <v>69</v>
      </c>
      <c r="G460" s="58" t="str">
        <f aca="false">VLOOKUP(F460,Countries!$A$2:$B$11,2,0)</f>
        <v>Egypt</v>
      </c>
      <c r="H460" s="13" t="n">
        <v>33</v>
      </c>
      <c r="I460" s="13" t="n">
        <v>227700</v>
      </c>
      <c r="J460" s="0" t="s">
        <v>14</v>
      </c>
      <c r="K460" s="0" t="s">
        <v>490</v>
      </c>
    </row>
    <row r="461" customFormat="false" ht="12.8" hidden="false" customHeight="false" outlineLevel="0" collapsed="false">
      <c r="A461" s="57" t="n">
        <v>46236</v>
      </c>
      <c r="B461" s="0" t="s">
        <v>549</v>
      </c>
      <c r="C461" s="0" t="s">
        <v>20</v>
      </c>
      <c r="D461" s="0" t="s">
        <v>88</v>
      </c>
      <c r="E461" s="58" t="str">
        <f aca="false">VLOOKUP(D461,Models!$A$2:$B$13,2,0)</f>
        <v>24-inch HD TV</v>
      </c>
      <c r="F461" s="0" t="s">
        <v>69</v>
      </c>
      <c r="G461" s="58" t="str">
        <f aca="false">VLOOKUP(F461,Countries!$A$2:$B$11,2,0)</f>
        <v>Egypt</v>
      </c>
      <c r="H461" s="13" t="n">
        <v>57</v>
      </c>
      <c r="I461" s="13" t="n">
        <v>165300</v>
      </c>
      <c r="J461" s="0" t="s">
        <v>14</v>
      </c>
      <c r="K461" s="0" t="s">
        <v>490</v>
      </c>
    </row>
    <row r="462" customFormat="false" ht="12.8" hidden="false" customHeight="false" outlineLevel="0" collapsed="false">
      <c r="A462" s="57" t="n">
        <v>46236</v>
      </c>
      <c r="B462" s="0" t="s">
        <v>550</v>
      </c>
      <c r="C462" s="0" t="s">
        <v>21</v>
      </c>
      <c r="D462" s="0" t="s">
        <v>109</v>
      </c>
      <c r="E462" s="58" t="str">
        <f aca="false">VLOOKUP(D462,Models!$A$2:$B$13,2,0)</f>
        <v>55-inch QLED TV</v>
      </c>
      <c r="F462" s="0" t="s">
        <v>75</v>
      </c>
      <c r="G462" s="58" t="str">
        <f aca="false">VLOOKUP(F462,Countries!$A$2:$B$11,2,0)</f>
        <v>Nigeria</v>
      </c>
      <c r="H462" s="13" t="n">
        <v>9</v>
      </c>
      <c r="I462" s="13" t="n">
        <v>140400</v>
      </c>
      <c r="J462" s="0" t="s">
        <v>14</v>
      </c>
      <c r="K462" s="0" t="s">
        <v>490</v>
      </c>
    </row>
    <row r="463" customFormat="false" ht="12.8" hidden="false" customHeight="false" outlineLevel="0" collapsed="false">
      <c r="A463" s="57" t="n">
        <v>46237</v>
      </c>
      <c r="B463" s="0" t="s">
        <v>551</v>
      </c>
      <c r="C463" s="0" t="s">
        <v>13</v>
      </c>
      <c r="D463" s="0" t="s">
        <v>77</v>
      </c>
      <c r="E463" s="58" t="str">
        <f aca="false">VLOOKUP(D463,Models!$A$2:$B$13,2,0)</f>
        <v>65-inch QLED TV</v>
      </c>
      <c r="F463" s="0" t="s">
        <v>75</v>
      </c>
      <c r="G463" s="58" t="str">
        <f aca="false">VLOOKUP(F463,Countries!$A$2:$B$11,2,0)</f>
        <v>Nigeria</v>
      </c>
      <c r="H463" s="13" t="n">
        <v>18</v>
      </c>
      <c r="I463" s="13" t="n">
        <v>441000</v>
      </c>
      <c r="J463" s="0" t="s">
        <v>14</v>
      </c>
      <c r="K463" s="0" t="s">
        <v>490</v>
      </c>
    </row>
    <row r="464" customFormat="false" ht="12.8" hidden="false" customHeight="false" outlineLevel="0" collapsed="false">
      <c r="A464" s="57" t="n">
        <v>46237</v>
      </c>
      <c r="B464" s="0" t="s">
        <v>552</v>
      </c>
      <c r="C464" s="0" t="s">
        <v>15</v>
      </c>
      <c r="D464" s="0" t="s">
        <v>95</v>
      </c>
      <c r="E464" s="58" t="str">
        <f aca="false">VLOOKUP(D464,Models!$A$2:$B$13,2,0)</f>
        <v>32-inch HD TV</v>
      </c>
      <c r="F464" s="0" t="s">
        <v>65</v>
      </c>
      <c r="G464" s="58" t="str">
        <f aca="false">VLOOKUP(F464,Countries!$A$2:$B$11,2,0)</f>
        <v>Jordan</v>
      </c>
      <c r="H464" s="13" t="n">
        <v>49</v>
      </c>
      <c r="I464" s="13" t="n">
        <v>191100</v>
      </c>
      <c r="J464" s="0" t="s">
        <v>14</v>
      </c>
      <c r="K464" s="0" t="s">
        <v>490</v>
      </c>
    </row>
    <row r="465" customFormat="false" ht="12.8" hidden="false" customHeight="false" outlineLevel="0" collapsed="false">
      <c r="A465" s="57" t="n">
        <v>46237</v>
      </c>
      <c r="B465" s="0" t="s">
        <v>553</v>
      </c>
      <c r="C465" s="0" t="s">
        <v>17</v>
      </c>
      <c r="D465" s="0" t="s">
        <v>85</v>
      </c>
      <c r="E465" s="58" t="str">
        <f aca="false">VLOOKUP(D465,Models!$A$2:$B$13,2,0)</f>
        <v>75-inch 4K TV</v>
      </c>
      <c r="F465" s="0" t="s">
        <v>79</v>
      </c>
      <c r="G465" s="58" t="str">
        <f aca="false">VLOOKUP(F465,Countries!$A$2:$B$11,2,0)</f>
        <v>Iraq</v>
      </c>
      <c r="H465" s="13" t="n">
        <v>10</v>
      </c>
      <c r="I465" s="13" t="n">
        <v>312000</v>
      </c>
      <c r="J465" s="0" t="s">
        <v>14</v>
      </c>
      <c r="K465" s="0" t="s">
        <v>490</v>
      </c>
    </row>
    <row r="466" customFormat="false" ht="12.8" hidden="false" customHeight="false" outlineLevel="0" collapsed="false">
      <c r="A466" s="57" t="n">
        <v>46237</v>
      </c>
      <c r="B466" s="0" t="s">
        <v>554</v>
      </c>
      <c r="C466" s="0" t="s">
        <v>17</v>
      </c>
      <c r="D466" s="0" t="s">
        <v>71</v>
      </c>
      <c r="E466" s="58" t="str">
        <f aca="false">VLOOKUP(D466,Models!$A$2:$B$13,2,0)</f>
        <v>43-inch Full HD TV</v>
      </c>
      <c r="F466" s="0" t="s">
        <v>177</v>
      </c>
      <c r="G466" s="58" t="str">
        <f aca="false">VLOOKUP(F466,Countries!$A$2:$B$11,2,0)</f>
        <v>Saudi Arabia</v>
      </c>
      <c r="H466" s="13" t="n">
        <v>14</v>
      </c>
      <c r="I466" s="13" t="n">
        <v>96600</v>
      </c>
      <c r="J466" s="0" t="s">
        <v>14</v>
      </c>
      <c r="K466" s="0" t="s">
        <v>490</v>
      </c>
    </row>
    <row r="467" customFormat="false" ht="12.8" hidden="false" customHeight="false" outlineLevel="0" collapsed="false">
      <c r="A467" s="57" t="n">
        <v>46237</v>
      </c>
      <c r="B467" s="0" t="s">
        <v>555</v>
      </c>
      <c r="C467" s="0" t="s">
        <v>17</v>
      </c>
      <c r="D467" s="0" t="s">
        <v>88</v>
      </c>
      <c r="E467" s="58" t="str">
        <f aca="false">VLOOKUP(D467,Models!$A$2:$B$13,2,0)</f>
        <v>24-inch HD TV</v>
      </c>
      <c r="F467" s="0" t="s">
        <v>72</v>
      </c>
      <c r="G467" s="58" t="str">
        <f aca="false">VLOOKUP(F467,Countries!$A$2:$B$11,2,0)</f>
        <v>Kenya</v>
      </c>
      <c r="H467" s="13" t="n">
        <v>14</v>
      </c>
      <c r="I467" s="13" t="n">
        <v>40600</v>
      </c>
      <c r="J467" s="0" t="s">
        <v>14</v>
      </c>
      <c r="K467" s="0" t="s">
        <v>490</v>
      </c>
    </row>
    <row r="468" customFormat="false" ht="12.8" hidden="false" customHeight="false" outlineLevel="0" collapsed="false">
      <c r="A468" s="57" t="n">
        <v>46237</v>
      </c>
      <c r="B468" s="0" t="s">
        <v>556</v>
      </c>
      <c r="C468" s="0" t="s">
        <v>19</v>
      </c>
      <c r="D468" s="0" t="s">
        <v>71</v>
      </c>
      <c r="E468" s="58" t="str">
        <f aca="false">VLOOKUP(D468,Models!$A$2:$B$13,2,0)</f>
        <v>43-inch Full HD TV</v>
      </c>
      <c r="F468" s="0" t="s">
        <v>98</v>
      </c>
      <c r="G468" s="58" t="str">
        <f aca="false">VLOOKUP(F468,Countries!$A$2:$B$11,2,0)</f>
        <v>Libya</v>
      </c>
      <c r="H468" s="13" t="n">
        <v>49</v>
      </c>
      <c r="I468" s="13" t="n">
        <v>338100</v>
      </c>
      <c r="J468" s="0" t="s">
        <v>14</v>
      </c>
      <c r="K468" s="0" t="s">
        <v>490</v>
      </c>
    </row>
    <row r="469" customFormat="false" ht="12.8" hidden="false" customHeight="false" outlineLevel="0" collapsed="false">
      <c r="A469" s="57" t="n">
        <v>46237</v>
      </c>
      <c r="B469" s="0" t="s">
        <v>557</v>
      </c>
      <c r="C469" s="0" t="s">
        <v>20</v>
      </c>
      <c r="D469" s="0" t="s">
        <v>90</v>
      </c>
      <c r="E469" s="58" t="str">
        <f aca="false">VLOOKUP(D469,Models!$A$2:$B$13,2,0)</f>
        <v>55-inch 4K TV</v>
      </c>
      <c r="F469" s="0" t="s">
        <v>103</v>
      </c>
      <c r="G469" s="58" t="str">
        <f aca="false">VLOOKUP(F469,Countries!$A$2:$B$11,2,0)</f>
        <v>Morocco</v>
      </c>
      <c r="H469" s="13" t="n">
        <v>22</v>
      </c>
      <c r="I469" s="13" t="n">
        <v>270600</v>
      </c>
      <c r="J469" s="0" t="s">
        <v>14</v>
      </c>
      <c r="K469" s="0" t="s">
        <v>490</v>
      </c>
    </row>
    <row r="470" customFormat="false" ht="12.8" hidden="false" customHeight="false" outlineLevel="0" collapsed="false">
      <c r="A470" s="57" t="n">
        <v>46237</v>
      </c>
      <c r="B470" s="0" t="s">
        <v>558</v>
      </c>
      <c r="C470" s="0" t="s">
        <v>20</v>
      </c>
      <c r="D470" s="0" t="s">
        <v>95</v>
      </c>
      <c r="E470" s="58" t="str">
        <f aca="false">VLOOKUP(D470,Models!$A$2:$B$13,2,0)</f>
        <v>32-inch HD TV</v>
      </c>
      <c r="F470" s="0" t="s">
        <v>69</v>
      </c>
      <c r="G470" s="58" t="str">
        <f aca="false">VLOOKUP(F470,Countries!$A$2:$B$11,2,0)</f>
        <v>Egypt</v>
      </c>
      <c r="H470" s="13" t="n">
        <v>32</v>
      </c>
      <c r="I470" s="13" t="n">
        <v>124800</v>
      </c>
      <c r="J470" s="0" t="s">
        <v>14</v>
      </c>
      <c r="K470" s="0" t="s">
        <v>490</v>
      </c>
    </row>
    <row r="471" customFormat="false" ht="12.8" hidden="false" customHeight="false" outlineLevel="0" collapsed="false">
      <c r="A471" s="57" t="n">
        <v>46237</v>
      </c>
      <c r="B471" s="0" t="s">
        <v>559</v>
      </c>
      <c r="C471" s="0" t="s">
        <v>20</v>
      </c>
      <c r="D471" s="0" t="s">
        <v>71</v>
      </c>
      <c r="E471" s="58" t="str">
        <f aca="false">VLOOKUP(D471,Models!$A$2:$B$13,2,0)</f>
        <v>43-inch Full HD TV</v>
      </c>
      <c r="F471" s="0" t="s">
        <v>69</v>
      </c>
      <c r="G471" s="58" t="str">
        <f aca="false">VLOOKUP(F471,Countries!$A$2:$B$11,2,0)</f>
        <v>Egypt</v>
      </c>
      <c r="H471" s="13" t="n">
        <v>9</v>
      </c>
      <c r="I471" s="13" t="n">
        <v>62100</v>
      </c>
      <c r="J471" s="0" t="s">
        <v>14</v>
      </c>
      <c r="K471" s="0" t="s">
        <v>490</v>
      </c>
    </row>
    <row r="472" customFormat="false" ht="12.8" hidden="false" customHeight="false" outlineLevel="0" collapsed="false">
      <c r="A472" s="57" t="n">
        <v>46237</v>
      </c>
      <c r="B472" s="0" t="s">
        <v>560</v>
      </c>
      <c r="C472" s="0" t="s">
        <v>21</v>
      </c>
      <c r="D472" s="0" t="s">
        <v>85</v>
      </c>
      <c r="E472" s="58" t="str">
        <f aca="false">VLOOKUP(D472,Models!$A$2:$B$13,2,0)</f>
        <v>75-inch 4K TV</v>
      </c>
      <c r="F472" s="0" t="s">
        <v>103</v>
      </c>
      <c r="G472" s="58" t="str">
        <f aca="false">VLOOKUP(F472,Countries!$A$2:$B$11,2,0)</f>
        <v>Morocco</v>
      </c>
      <c r="H472" s="13" t="n">
        <v>10</v>
      </c>
      <c r="I472" s="13" t="n">
        <v>312000</v>
      </c>
      <c r="J472" s="0" t="s">
        <v>14</v>
      </c>
      <c r="K472" s="0" t="s">
        <v>490</v>
      </c>
    </row>
    <row r="473" customFormat="false" ht="12.8" hidden="false" customHeight="false" outlineLevel="0" collapsed="false">
      <c r="A473" s="57" t="n">
        <v>46237</v>
      </c>
      <c r="B473" s="0" t="s">
        <v>561</v>
      </c>
      <c r="C473" s="0" t="s">
        <v>21</v>
      </c>
      <c r="D473" s="0" t="s">
        <v>88</v>
      </c>
      <c r="E473" s="58" t="str">
        <f aca="false">VLOOKUP(D473,Models!$A$2:$B$13,2,0)</f>
        <v>24-inch HD TV</v>
      </c>
      <c r="F473" s="0" t="s">
        <v>69</v>
      </c>
      <c r="G473" s="58" t="str">
        <f aca="false">VLOOKUP(F473,Countries!$A$2:$B$11,2,0)</f>
        <v>Egypt</v>
      </c>
      <c r="H473" s="13" t="n">
        <v>37</v>
      </c>
      <c r="I473" s="13" t="n">
        <v>107300</v>
      </c>
      <c r="J473" s="0" t="s">
        <v>14</v>
      </c>
      <c r="K473" s="0" t="s">
        <v>490</v>
      </c>
    </row>
    <row r="474" customFormat="false" ht="12.8" hidden="false" customHeight="false" outlineLevel="0" collapsed="false">
      <c r="A474" s="57" t="n">
        <v>46238</v>
      </c>
      <c r="B474" s="0" t="s">
        <v>562</v>
      </c>
      <c r="C474" s="0" t="s">
        <v>13</v>
      </c>
      <c r="D474" s="0" t="s">
        <v>95</v>
      </c>
      <c r="E474" s="58" t="str">
        <f aca="false">VLOOKUP(D474,Models!$A$2:$B$13,2,0)</f>
        <v>32-inch HD TV</v>
      </c>
      <c r="F474" s="0" t="s">
        <v>69</v>
      </c>
      <c r="G474" s="58" t="str">
        <f aca="false">VLOOKUP(F474,Countries!$A$2:$B$11,2,0)</f>
        <v>Egypt</v>
      </c>
      <c r="H474" s="13" t="n">
        <v>22</v>
      </c>
      <c r="I474" s="13" t="n">
        <v>85800</v>
      </c>
      <c r="J474" s="0" t="s">
        <v>14</v>
      </c>
      <c r="K474" s="0" t="s">
        <v>490</v>
      </c>
    </row>
    <row r="475" customFormat="false" ht="12.8" hidden="false" customHeight="false" outlineLevel="0" collapsed="false">
      <c r="A475" s="57" t="n">
        <v>46238</v>
      </c>
      <c r="B475" s="0" t="s">
        <v>563</v>
      </c>
      <c r="C475" s="0" t="s">
        <v>13</v>
      </c>
      <c r="D475" s="0" t="s">
        <v>68</v>
      </c>
      <c r="E475" s="58" t="str">
        <f aca="false">VLOOKUP(D475,Models!$A$2:$B$13,2,0)</f>
        <v>50-inch 4K TV</v>
      </c>
      <c r="F475" s="0" t="s">
        <v>69</v>
      </c>
      <c r="G475" s="58" t="str">
        <f aca="false">VLOOKUP(F475,Countries!$A$2:$B$11,2,0)</f>
        <v>Egypt</v>
      </c>
      <c r="H475" s="13" t="n">
        <v>19</v>
      </c>
      <c r="I475" s="13" t="n">
        <v>197600</v>
      </c>
      <c r="J475" s="0" t="s">
        <v>14</v>
      </c>
      <c r="K475" s="0" t="s">
        <v>490</v>
      </c>
    </row>
    <row r="476" customFormat="false" ht="12.8" hidden="false" customHeight="false" outlineLevel="0" collapsed="false">
      <c r="A476" s="57" t="n">
        <v>46238</v>
      </c>
      <c r="B476" s="0" t="s">
        <v>564</v>
      </c>
      <c r="C476" s="0" t="s">
        <v>13</v>
      </c>
      <c r="D476" s="0" t="s">
        <v>74</v>
      </c>
      <c r="E476" s="58" t="str">
        <f aca="false">VLOOKUP(D476,Models!$A$2:$B$13,2,0)</f>
        <v>40-inch Full HD TV</v>
      </c>
      <c r="F476" s="0" t="s">
        <v>75</v>
      </c>
      <c r="G476" s="58" t="str">
        <f aca="false">VLOOKUP(F476,Countries!$A$2:$B$11,2,0)</f>
        <v>Nigeria</v>
      </c>
      <c r="H476" s="13" t="n">
        <v>18</v>
      </c>
      <c r="I476" s="13" t="n">
        <v>111600</v>
      </c>
      <c r="J476" s="0" t="s">
        <v>14</v>
      </c>
      <c r="K476" s="0" t="s">
        <v>490</v>
      </c>
    </row>
    <row r="477" customFormat="false" ht="12.8" hidden="false" customHeight="false" outlineLevel="0" collapsed="false">
      <c r="A477" s="57" t="n">
        <v>46238</v>
      </c>
      <c r="B477" s="0" t="s">
        <v>565</v>
      </c>
      <c r="C477" s="0" t="s">
        <v>15</v>
      </c>
      <c r="D477" s="0" t="s">
        <v>88</v>
      </c>
      <c r="E477" s="58" t="str">
        <f aca="false">VLOOKUP(D477,Models!$A$2:$B$13,2,0)</f>
        <v>24-inch HD TV</v>
      </c>
      <c r="F477" s="0" t="s">
        <v>69</v>
      </c>
      <c r="G477" s="58" t="str">
        <f aca="false">VLOOKUP(F477,Countries!$A$2:$B$11,2,0)</f>
        <v>Egypt</v>
      </c>
      <c r="H477" s="13" t="n">
        <v>26</v>
      </c>
      <c r="I477" s="13" t="n">
        <v>75400</v>
      </c>
      <c r="J477" s="0" t="s">
        <v>14</v>
      </c>
      <c r="K477" s="0" t="s">
        <v>490</v>
      </c>
    </row>
    <row r="478" customFormat="false" ht="12.8" hidden="false" customHeight="false" outlineLevel="0" collapsed="false">
      <c r="A478" s="57" t="n">
        <v>46238</v>
      </c>
      <c r="B478" s="0" t="s">
        <v>566</v>
      </c>
      <c r="C478" s="0" t="s">
        <v>15</v>
      </c>
      <c r="D478" s="0" t="s">
        <v>92</v>
      </c>
      <c r="E478" s="58" t="str">
        <f aca="false">VLOOKUP(D478,Models!$A$2:$B$13,2,0)</f>
        <v>65-inch 4K TV</v>
      </c>
      <c r="F478" s="0" t="s">
        <v>83</v>
      </c>
      <c r="G478" s="58" t="str">
        <f aca="false">VLOOKUP(F478,Countries!$A$2:$B$11,2,0)</f>
        <v>United Arab Emirates</v>
      </c>
      <c r="H478" s="13" t="n">
        <v>20</v>
      </c>
      <c r="I478" s="13" t="n">
        <v>396000</v>
      </c>
      <c r="J478" s="0" t="s">
        <v>14</v>
      </c>
      <c r="K478" s="0" t="s">
        <v>490</v>
      </c>
    </row>
    <row r="479" customFormat="false" ht="12.8" hidden="false" customHeight="false" outlineLevel="0" collapsed="false">
      <c r="A479" s="57" t="n">
        <v>46238</v>
      </c>
      <c r="B479" s="0" t="s">
        <v>567</v>
      </c>
      <c r="C479" s="0" t="s">
        <v>15</v>
      </c>
      <c r="D479" s="0" t="s">
        <v>92</v>
      </c>
      <c r="E479" s="58" t="str">
        <f aca="false">VLOOKUP(D479,Models!$A$2:$B$13,2,0)</f>
        <v>65-inch 4K TV</v>
      </c>
      <c r="F479" s="0" t="s">
        <v>75</v>
      </c>
      <c r="G479" s="58" t="str">
        <f aca="false">VLOOKUP(F479,Countries!$A$2:$B$11,2,0)</f>
        <v>Nigeria</v>
      </c>
      <c r="H479" s="13" t="n">
        <v>9</v>
      </c>
      <c r="I479" s="13" t="n">
        <v>178200</v>
      </c>
      <c r="J479" s="0" t="s">
        <v>14</v>
      </c>
      <c r="K479" s="0" t="s">
        <v>490</v>
      </c>
    </row>
    <row r="480" customFormat="false" ht="12.8" hidden="false" customHeight="false" outlineLevel="0" collapsed="false">
      <c r="A480" s="57" t="n">
        <v>46238</v>
      </c>
      <c r="B480" s="0" t="s">
        <v>568</v>
      </c>
      <c r="C480" s="0" t="s">
        <v>15</v>
      </c>
      <c r="D480" s="0" t="s">
        <v>64</v>
      </c>
      <c r="E480" s="58" t="str">
        <f aca="false">VLOOKUP(D480,Models!$A$2:$B$13,2,0)</f>
        <v>32-inch Smart TV</v>
      </c>
      <c r="F480" s="0" t="s">
        <v>69</v>
      </c>
      <c r="G480" s="58" t="str">
        <f aca="false">VLOOKUP(F480,Countries!$A$2:$B$11,2,0)</f>
        <v>Egypt</v>
      </c>
      <c r="H480" s="13" t="n">
        <v>21</v>
      </c>
      <c r="I480" s="13" t="n">
        <v>96600</v>
      </c>
      <c r="J480" s="0" t="s">
        <v>14</v>
      </c>
      <c r="K480" s="0" t="s">
        <v>490</v>
      </c>
    </row>
    <row r="481" customFormat="false" ht="12.8" hidden="false" customHeight="false" outlineLevel="0" collapsed="false">
      <c r="A481" s="57" t="n">
        <v>46238</v>
      </c>
      <c r="B481" s="0" t="s">
        <v>569</v>
      </c>
      <c r="C481" s="0" t="s">
        <v>17</v>
      </c>
      <c r="D481" s="0" t="s">
        <v>81</v>
      </c>
      <c r="E481" s="58" t="str">
        <f aca="false">VLOOKUP(D481,Models!$A$2:$B$13,2,0)</f>
        <v>43-inch Smart TV</v>
      </c>
      <c r="F481" s="0" t="s">
        <v>69</v>
      </c>
      <c r="G481" s="58" t="str">
        <f aca="false">VLOOKUP(F481,Countries!$A$2:$B$11,2,0)</f>
        <v>Egypt</v>
      </c>
      <c r="H481" s="13" t="n">
        <v>29</v>
      </c>
      <c r="I481" s="13" t="n">
        <v>226200</v>
      </c>
      <c r="J481" s="0" t="s">
        <v>14</v>
      </c>
      <c r="K481" s="0" t="s">
        <v>490</v>
      </c>
    </row>
    <row r="482" customFormat="false" ht="12.8" hidden="false" customHeight="false" outlineLevel="0" collapsed="false">
      <c r="A482" s="57" t="n">
        <v>46238</v>
      </c>
      <c r="B482" s="0" t="s">
        <v>570</v>
      </c>
      <c r="C482" s="0" t="s">
        <v>17</v>
      </c>
      <c r="D482" s="0" t="s">
        <v>95</v>
      </c>
      <c r="E482" s="58" t="str">
        <f aca="false">VLOOKUP(D482,Models!$A$2:$B$13,2,0)</f>
        <v>32-inch HD TV</v>
      </c>
      <c r="F482" s="0" t="s">
        <v>69</v>
      </c>
      <c r="G482" s="58" t="str">
        <f aca="false">VLOOKUP(F482,Countries!$A$2:$B$11,2,0)</f>
        <v>Egypt</v>
      </c>
      <c r="H482" s="13" t="n">
        <v>34</v>
      </c>
      <c r="I482" s="13" t="n">
        <v>132600</v>
      </c>
      <c r="J482" s="0" t="s">
        <v>14</v>
      </c>
      <c r="K482" s="0" t="s">
        <v>490</v>
      </c>
    </row>
    <row r="483" customFormat="false" ht="12.8" hidden="false" customHeight="false" outlineLevel="0" collapsed="false">
      <c r="A483" s="57" t="n">
        <v>46238</v>
      </c>
      <c r="B483" s="0" t="s">
        <v>571</v>
      </c>
      <c r="C483" s="0" t="s">
        <v>19</v>
      </c>
      <c r="D483" s="0" t="s">
        <v>64</v>
      </c>
      <c r="E483" s="58" t="str">
        <f aca="false">VLOOKUP(D483,Models!$A$2:$B$13,2,0)</f>
        <v>32-inch Smart TV</v>
      </c>
      <c r="F483" s="0" t="s">
        <v>69</v>
      </c>
      <c r="G483" s="58" t="str">
        <f aca="false">VLOOKUP(F483,Countries!$A$2:$B$11,2,0)</f>
        <v>Egypt</v>
      </c>
      <c r="H483" s="13" t="n">
        <v>64</v>
      </c>
      <c r="I483" s="13" t="n">
        <v>294400</v>
      </c>
      <c r="J483" s="0" t="s">
        <v>14</v>
      </c>
      <c r="K483" s="0" t="s">
        <v>490</v>
      </c>
    </row>
    <row r="484" customFormat="false" ht="12.8" hidden="false" customHeight="false" outlineLevel="0" collapsed="false">
      <c r="A484" s="57" t="n">
        <v>46238</v>
      </c>
      <c r="B484" s="0" t="s">
        <v>572</v>
      </c>
      <c r="C484" s="0" t="s">
        <v>20</v>
      </c>
      <c r="D484" s="0" t="s">
        <v>95</v>
      </c>
      <c r="E484" s="58" t="str">
        <f aca="false">VLOOKUP(D484,Models!$A$2:$B$13,2,0)</f>
        <v>32-inch HD TV</v>
      </c>
      <c r="F484" s="0" t="s">
        <v>69</v>
      </c>
      <c r="G484" s="58" t="str">
        <f aca="false">VLOOKUP(F484,Countries!$A$2:$B$11,2,0)</f>
        <v>Egypt</v>
      </c>
      <c r="H484" s="13" t="n">
        <v>9</v>
      </c>
      <c r="I484" s="13" t="n">
        <v>35100</v>
      </c>
      <c r="J484" s="0" t="s">
        <v>14</v>
      </c>
      <c r="K484" s="0" t="s">
        <v>490</v>
      </c>
    </row>
    <row r="485" customFormat="false" ht="12.8" hidden="false" customHeight="false" outlineLevel="0" collapsed="false">
      <c r="A485" s="57" t="n">
        <v>46238</v>
      </c>
      <c r="B485" s="0" t="s">
        <v>573</v>
      </c>
      <c r="C485" s="0" t="s">
        <v>20</v>
      </c>
      <c r="D485" s="0" t="s">
        <v>92</v>
      </c>
      <c r="E485" s="58" t="str">
        <f aca="false">VLOOKUP(D485,Models!$A$2:$B$13,2,0)</f>
        <v>65-inch 4K TV</v>
      </c>
      <c r="F485" s="0" t="s">
        <v>65</v>
      </c>
      <c r="G485" s="58" t="str">
        <f aca="false">VLOOKUP(F485,Countries!$A$2:$B$11,2,0)</f>
        <v>Jordan</v>
      </c>
      <c r="H485" s="13" t="n">
        <v>9</v>
      </c>
      <c r="I485" s="13" t="n">
        <v>178200</v>
      </c>
      <c r="J485" s="0" t="s">
        <v>14</v>
      </c>
      <c r="K485" s="0" t="s">
        <v>490</v>
      </c>
    </row>
    <row r="486" customFormat="false" ht="12.8" hidden="false" customHeight="false" outlineLevel="0" collapsed="false">
      <c r="A486" s="57" t="n">
        <v>46238</v>
      </c>
      <c r="B486" s="0" t="s">
        <v>574</v>
      </c>
      <c r="C486" s="0" t="s">
        <v>20</v>
      </c>
      <c r="D486" s="0" t="s">
        <v>68</v>
      </c>
      <c r="E486" s="58" t="str">
        <f aca="false">VLOOKUP(D486,Models!$A$2:$B$13,2,0)</f>
        <v>50-inch 4K TV</v>
      </c>
      <c r="F486" s="0" t="s">
        <v>98</v>
      </c>
      <c r="G486" s="58" t="str">
        <f aca="false">VLOOKUP(F486,Countries!$A$2:$B$11,2,0)</f>
        <v>Libya</v>
      </c>
      <c r="H486" s="13" t="n">
        <v>14</v>
      </c>
      <c r="I486" s="13" t="n">
        <v>145600</v>
      </c>
      <c r="J486" s="0" t="s">
        <v>14</v>
      </c>
      <c r="K486" s="0" t="s">
        <v>490</v>
      </c>
    </row>
    <row r="487" customFormat="false" ht="12.8" hidden="false" customHeight="false" outlineLevel="0" collapsed="false">
      <c r="A487" s="57" t="n">
        <v>46238</v>
      </c>
      <c r="B487" s="0" t="s">
        <v>575</v>
      </c>
      <c r="C487" s="0" t="s">
        <v>21</v>
      </c>
      <c r="D487" s="0" t="s">
        <v>74</v>
      </c>
      <c r="E487" s="58" t="str">
        <f aca="false">VLOOKUP(D487,Models!$A$2:$B$13,2,0)</f>
        <v>40-inch Full HD TV</v>
      </c>
      <c r="F487" s="0" t="s">
        <v>83</v>
      </c>
      <c r="G487" s="58" t="str">
        <f aca="false">VLOOKUP(F487,Countries!$A$2:$B$11,2,0)</f>
        <v>United Arab Emirates</v>
      </c>
      <c r="H487" s="13" t="n">
        <v>44</v>
      </c>
      <c r="I487" s="13" t="n">
        <v>272800</v>
      </c>
      <c r="J487" s="0" t="s">
        <v>14</v>
      </c>
      <c r="K487" s="0" t="s">
        <v>490</v>
      </c>
    </row>
    <row r="488" customFormat="false" ht="12.8" hidden="false" customHeight="false" outlineLevel="0" collapsed="false">
      <c r="A488" s="57" t="n">
        <v>46239</v>
      </c>
      <c r="B488" s="0" t="s">
        <v>576</v>
      </c>
      <c r="C488" s="0" t="s">
        <v>13</v>
      </c>
      <c r="D488" s="0" t="s">
        <v>81</v>
      </c>
      <c r="E488" s="58" t="str">
        <f aca="false">VLOOKUP(D488,Models!$A$2:$B$13,2,0)</f>
        <v>43-inch Smart TV</v>
      </c>
      <c r="F488" s="0" t="s">
        <v>69</v>
      </c>
      <c r="G488" s="58" t="str">
        <f aca="false">VLOOKUP(F488,Countries!$A$2:$B$11,2,0)</f>
        <v>Egypt</v>
      </c>
      <c r="H488" s="13" t="n">
        <v>9</v>
      </c>
      <c r="I488" s="13" t="n">
        <v>70200</v>
      </c>
      <c r="J488" s="0" t="s">
        <v>14</v>
      </c>
      <c r="K488" s="0" t="s">
        <v>577</v>
      </c>
    </row>
    <row r="489" customFormat="false" ht="12.8" hidden="false" customHeight="false" outlineLevel="0" collapsed="false">
      <c r="A489" s="57" t="n">
        <v>46239</v>
      </c>
      <c r="B489" s="0" t="s">
        <v>578</v>
      </c>
      <c r="C489" s="0" t="s">
        <v>13</v>
      </c>
      <c r="D489" s="0" t="s">
        <v>92</v>
      </c>
      <c r="E489" s="58" t="str">
        <f aca="false">VLOOKUP(D489,Models!$A$2:$B$13,2,0)</f>
        <v>65-inch 4K TV</v>
      </c>
      <c r="F489" s="0" t="s">
        <v>72</v>
      </c>
      <c r="G489" s="58" t="str">
        <f aca="false">VLOOKUP(F489,Countries!$A$2:$B$11,2,0)</f>
        <v>Kenya</v>
      </c>
      <c r="H489" s="13" t="n">
        <v>12</v>
      </c>
      <c r="I489" s="13" t="n">
        <v>237600</v>
      </c>
      <c r="J489" s="0" t="s">
        <v>14</v>
      </c>
      <c r="K489" s="0" t="s">
        <v>577</v>
      </c>
    </row>
    <row r="490" customFormat="false" ht="12.8" hidden="false" customHeight="false" outlineLevel="0" collapsed="false">
      <c r="A490" s="57" t="n">
        <v>46239</v>
      </c>
      <c r="B490" s="0" t="s">
        <v>579</v>
      </c>
      <c r="C490" s="0" t="s">
        <v>15</v>
      </c>
      <c r="D490" s="0" t="s">
        <v>90</v>
      </c>
      <c r="E490" s="58" t="str">
        <f aca="false">VLOOKUP(D490,Models!$A$2:$B$13,2,0)</f>
        <v>55-inch 4K TV</v>
      </c>
      <c r="F490" s="0" t="s">
        <v>69</v>
      </c>
      <c r="G490" s="58" t="str">
        <f aca="false">VLOOKUP(F490,Countries!$A$2:$B$11,2,0)</f>
        <v>Egypt</v>
      </c>
      <c r="H490" s="13" t="n">
        <v>17</v>
      </c>
      <c r="I490" s="13" t="n">
        <v>209100</v>
      </c>
      <c r="J490" s="0" t="s">
        <v>14</v>
      </c>
      <c r="K490" s="0" t="s">
        <v>577</v>
      </c>
    </row>
    <row r="491" customFormat="false" ht="12.8" hidden="false" customHeight="false" outlineLevel="0" collapsed="false">
      <c r="A491" s="57" t="n">
        <v>46239</v>
      </c>
      <c r="B491" s="0" t="s">
        <v>580</v>
      </c>
      <c r="C491" s="0" t="s">
        <v>15</v>
      </c>
      <c r="D491" s="0" t="s">
        <v>81</v>
      </c>
      <c r="E491" s="58" t="str">
        <f aca="false">VLOOKUP(D491,Models!$A$2:$B$13,2,0)</f>
        <v>43-inch Smart TV</v>
      </c>
      <c r="F491" s="0" t="s">
        <v>69</v>
      </c>
      <c r="G491" s="58" t="str">
        <f aca="false">VLOOKUP(F491,Countries!$A$2:$B$11,2,0)</f>
        <v>Egypt</v>
      </c>
      <c r="H491" s="13" t="n">
        <v>9</v>
      </c>
      <c r="I491" s="13" t="n">
        <v>70200</v>
      </c>
      <c r="J491" s="0" t="s">
        <v>14</v>
      </c>
      <c r="K491" s="0" t="s">
        <v>577</v>
      </c>
    </row>
    <row r="492" customFormat="false" ht="12.8" hidden="false" customHeight="false" outlineLevel="0" collapsed="false">
      <c r="A492" s="57" t="n">
        <v>46239</v>
      </c>
      <c r="B492" s="0" t="s">
        <v>581</v>
      </c>
      <c r="C492" s="0" t="s">
        <v>17</v>
      </c>
      <c r="D492" s="0" t="s">
        <v>95</v>
      </c>
      <c r="E492" s="58" t="str">
        <f aca="false">VLOOKUP(D492,Models!$A$2:$B$13,2,0)</f>
        <v>32-inch HD TV</v>
      </c>
      <c r="F492" s="0" t="s">
        <v>69</v>
      </c>
      <c r="G492" s="58" t="str">
        <f aca="false">VLOOKUP(F492,Countries!$A$2:$B$11,2,0)</f>
        <v>Egypt</v>
      </c>
      <c r="H492" s="13" t="n">
        <v>56</v>
      </c>
      <c r="I492" s="13" t="n">
        <v>218400</v>
      </c>
      <c r="J492" s="0" t="s">
        <v>14</v>
      </c>
      <c r="K492" s="0" t="s">
        <v>577</v>
      </c>
    </row>
    <row r="493" customFormat="false" ht="12.8" hidden="false" customHeight="false" outlineLevel="0" collapsed="false">
      <c r="A493" s="57" t="n">
        <v>46239</v>
      </c>
      <c r="B493" s="0" t="s">
        <v>582</v>
      </c>
      <c r="C493" s="0" t="s">
        <v>17</v>
      </c>
      <c r="D493" s="0" t="s">
        <v>68</v>
      </c>
      <c r="E493" s="58" t="str">
        <f aca="false">VLOOKUP(D493,Models!$A$2:$B$13,2,0)</f>
        <v>50-inch 4K TV</v>
      </c>
      <c r="F493" s="0" t="s">
        <v>101</v>
      </c>
      <c r="G493" s="58" t="str">
        <f aca="false">VLOOKUP(F493,Countries!$A$2:$B$11,2,0)</f>
        <v>Kuwait</v>
      </c>
      <c r="H493" s="13" t="n">
        <v>16</v>
      </c>
      <c r="I493" s="13" t="n">
        <v>166400</v>
      </c>
      <c r="J493" s="0" t="s">
        <v>14</v>
      </c>
      <c r="K493" s="0" t="s">
        <v>577</v>
      </c>
    </row>
    <row r="494" customFormat="false" ht="12.8" hidden="false" customHeight="false" outlineLevel="0" collapsed="false">
      <c r="A494" s="57" t="n">
        <v>46239</v>
      </c>
      <c r="B494" s="0" t="s">
        <v>583</v>
      </c>
      <c r="C494" s="0" t="s">
        <v>17</v>
      </c>
      <c r="D494" s="0" t="s">
        <v>109</v>
      </c>
      <c r="E494" s="58" t="str">
        <f aca="false">VLOOKUP(D494,Models!$A$2:$B$13,2,0)</f>
        <v>55-inch QLED TV</v>
      </c>
      <c r="F494" s="0" t="s">
        <v>83</v>
      </c>
      <c r="G494" s="58" t="str">
        <f aca="false">VLOOKUP(F494,Countries!$A$2:$B$11,2,0)</f>
        <v>United Arab Emirates</v>
      </c>
      <c r="H494" s="13" t="n">
        <v>28</v>
      </c>
      <c r="I494" s="13" t="n">
        <v>436800</v>
      </c>
      <c r="J494" s="0" t="s">
        <v>14</v>
      </c>
      <c r="K494" s="0" t="s">
        <v>577</v>
      </c>
    </row>
    <row r="495" customFormat="false" ht="12.8" hidden="false" customHeight="false" outlineLevel="0" collapsed="false">
      <c r="A495" s="57" t="n">
        <v>46239</v>
      </c>
      <c r="B495" s="0" t="s">
        <v>584</v>
      </c>
      <c r="C495" s="0" t="s">
        <v>17</v>
      </c>
      <c r="D495" s="0" t="s">
        <v>74</v>
      </c>
      <c r="E495" s="58" t="str">
        <f aca="false">VLOOKUP(D495,Models!$A$2:$B$13,2,0)</f>
        <v>40-inch Full HD TV</v>
      </c>
      <c r="F495" s="0" t="s">
        <v>79</v>
      </c>
      <c r="G495" s="58" t="str">
        <f aca="false">VLOOKUP(F495,Countries!$A$2:$B$11,2,0)</f>
        <v>Iraq</v>
      </c>
      <c r="H495" s="13" t="n">
        <v>13</v>
      </c>
      <c r="I495" s="13" t="n">
        <v>80600</v>
      </c>
      <c r="J495" s="0" t="s">
        <v>14</v>
      </c>
      <c r="K495" s="0" t="s">
        <v>577</v>
      </c>
    </row>
    <row r="496" customFormat="false" ht="12.8" hidden="false" customHeight="false" outlineLevel="0" collapsed="false">
      <c r="A496" s="57" t="n">
        <v>46239</v>
      </c>
      <c r="B496" s="0" t="s">
        <v>585</v>
      </c>
      <c r="C496" s="0" t="s">
        <v>19</v>
      </c>
      <c r="D496" s="0" t="s">
        <v>109</v>
      </c>
      <c r="E496" s="58" t="str">
        <f aca="false">VLOOKUP(D496,Models!$A$2:$B$13,2,0)</f>
        <v>55-inch QLED TV</v>
      </c>
      <c r="F496" s="0" t="s">
        <v>103</v>
      </c>
      <c r="G496" s="58" t="str">
        <f aca="false">VLOOKUP(F496,Countries!$A$2:$B$11,2,0)</f>
        <v>Morocco</v>
      </c>
      <c r="H496" s="13" t="n">
        <v>23</v>
      </c>
      <c r="I496" s="13" t="n">
        <v>358800</v>
      </c>
      <c r="J496" s="0" t="s">
        <v>14</v>
      </c>
      <c r="K496" s="0" t="s">
        <v>577</v>
      </c>
    </row>
    <row r="497" customFormat="false" ht="12.8" hidden="false" customHeight="false" outlineLevel="0" collapsed="false">
      <c r="A497" s="57" t="n">
        <v>46239</v>
      </c>
      <c r="B497" s="0" t="s">
        <v>586</v>
      </c>
      <c r="C497" s="0" t="s">
        <v>19</v>
      </c>
      <c r="D497" s="0" t="s">
        <v>71</v>
      </c>
      <c r="E497" s="58" t="str">
        <f aca="false">VLOOKUP(D497,Models!$A$2:$B$13,2,0)</f>
        <v>43-inch Full HD TV</v>
      </c>
      <c r="F497" s="0" t="s">
        <v>69</v>
      </c>
      <c r="G497" s="58" t="str">
        <f aca="false">VLOOKUP(F497,Countries!$A$2:$B$11,2,0)</f>
        <v>Egypt</v>
      </c>
      <c r="H497" s="13" t="n">
        <v>17</v>
      </c>
      <c r="I497" s="13" t="n">
        <v>117300</v>
      </c>
      <c r="J497" s="0" t="s">
        <v>14</v>
      </c>
      <c r="K497" s="0" t="s">
        <v>577</v>
      </c>
    </row>
    <row r="498" customFormat="false" ht="12.8" hidden="false" customHeight="false" outlineLevel="0" collapsed="false">
      <c r="A498" s="57" t="n">
        <v>46239</v>
      </c>
      <c r="B498" s="0" t="s">
        <v>587</v>
      </c>
      <c r="C498" s="0" t="s">
        <v>20</v>
      </c>
      <c r="D498" s="0" t="s">
        <v>92</v>
      </c>
      <c r="E498" s="58" t="str">
        <f aca="false">VLOOKUP(D498,Models!$A$2:$B$13,2,0)</f>
        <v>65-inch 4K TV</v>
      </c>
      <c r="F498" s="0" t="s">
        <v>83</v>
      </c>
      <c r="G498" s="58" t="str">
        <f aca="false">VLOOKUP(F498,Countries!$A$2:$B$11,2,0)</f>
        <v>United Arab Emirates</v>
      </c>
      <c r="H498" s="13" t="n">
        <v>22</v>
      </c>
      <c r="I498" s="13" t="n">
        <v>435600</v>
      </c>
      <c r="J498" s="0" t="s">
        <v>14</v>
      </c>
      <c r="K498" s="0" t="s">
        <v>577</v>
      </c>
    </row>
    <row r="499" customFormat="false" ht="12.8" hidden="false" customHeight="false" outlineLevel="0" collapsed="false">
      <c r="A499" s="57" t="n">
        <v>46239</v>
      </c>
      <c r="B499" s="0" t="s">
        <v>588</v>
      </c>
      <c r="C499" s="0" t="s">
        <v>21</v>
      </c>
      <c r="D499" s="0" t="s">
        <v>88</v>
      </c>
      <c r="E499" s="58" t="str">
        <f aca="false">VLOOKUP(D499,Models!$A$2:$B$13,2,0)</f>
        <v>24-inch HD TV</v>
      </c>
      <c r="F499" s="0" t="s">
        <v>69</v>
      </c>
      <c r="G499" s="58" t="str">
        <f aca="false">VLOOKUP(F499,Countries!$A$2:$B$11,2,0)</f>
        <v>Egypt</v>
      </c>
      <c r="H499" s="13" t="n">
        <v>18</v>
      </c>
      <c r="I499" s="13" t="n">
        <v>52200</v>
      </c>
      <c r="J499" s="0" t="s">
        <v>14</v>
      </c>
      <c r="K499" s="0" t="s">
        <v>577</v>
      </c>
    </row>
    <row r="500" customFormat="false" ht="12.8" hidden="false" customHeight="false" outlineLevel="0" collapsed="false">
      <c r="A500" s="57" t="n">
        <v>46239</v>
      </c>
      <c r="B500" s="0" t="s">
        <v>589</v>
      </c>
      <c r="C500" s="0" t="s">
        <v>21</v>
      </c>
      <c r="D500" s="0" t="s">
        <v>68</v>
      </c>
      <c r="E500" s="58" t="str">
        <f aca="false">VLOOKUP(D500,Models!$A$2:$B$13,2,0)</f>
        <v>50-inch 4K TV</v>
      </c>
      <c r="F500" s="0" t="s">
        <v>65</v>
      </c>
      <c r="G500" s="58" t="str">
        <f aca="false">VLOOKUP(F500,Countries!$A$2:$B$11,2,0)</f>
        <v>Jordan</v>
      </c>
      <c r="H500" s="13" t="n">
        <v>9</v>
      </c>
      <c r="I500" s="13" t="n">
        <v>93600</v>
      </c>
      <c r="J500" s="0" t="s">
        <v>14</v>
      </c>
      <c r="K500" s="0" t="s">
        <v>577</v>
      </c>
    </row>
    <row r="501" customFormat="false" ht="12.8" hidden="false" customHeight="false" outlineLevel="0" collapsed="false">
      <c r="A501" s="57" t="n">
        <v>46239</v>
      </c>
      <c r="B501" s="0" t="s">
        <v>590</v>
      </c>
      <c r="C501" s="0" t="s">
        <v>21</v>
      </c>
      <c r="D501" s="0" t="s">
        <v>85</v>
      </c>
      <c r="E501" s="58" t="str">
        <f aca="false">VLOOKUP(D501,Models!$A$2:$B$13,2,0)</f>
        <v>75-inch 4K TV</v>
      </c>
      <c r="F501" s="0" t="s">
        <v>69</v>
      </c>
      <c r="G501" s="58" t="str">
        <f aca="false">VLOOKUP(F501,Countries!$A$2:$B$11,2,0)</f>
        <v>Egypt</v>
      </c>
      <c r="H501" s="13" t="n">
        <v>11</v>
      </c>
      <c r="I501" s="13" t="n">
        <v>343200</v>
      </c>
      <c r="J501" s="0" t="s">
        <v>14</v>
      </c>
      <c r="K501" s="0" t="s">
        <v>577</v>
      </c>
    </row>
    <row r="502" customFormat="false" ht="12.8" hidden="false" customHeight="false" outlineLevel="0" collapsed="false">
      <c r="A502" s="57" t="n">
        <v>46240</v>
      </c>
      <c r="B502" s="0" t="s">
        <v>591</v>
      </c>
      <c r="C502" s="0" t="s">
        <v>13</v>
      </c>
      <c r="D502" s="0" t="s">
        <v>92</v>
      </c>
      <c r="E502" s="58" t="str">
        <f aca="false">VLOOKUP(D502,Models!$A$2:$B$13,2,0)</f>
        <v>65-inch 4K TV</v>
      </c>
      <c r="F502" s="0" t="s">
        <v>69</v>
      </c>
      <c r="G502" s="58" t="str">
        <f aca="false">VLOOKUP(F502,Countries!$A$2:$B$11,2,0)</f>
        <v>Egypt</v>
      </c>
      <c r="H502" s="13" t="n">
        <v>15</v>
      </c>
      <c r="I502" s="13" t="n">
        <v>297000</v>
      </c>
      <c r="J502" s="0" t="s">
        <v>14</v>
      </c>
      <c r="K502" s="0" t="s">
        <v>577</v>
      </c>
    </row>
    <row r="503" customFormat="false" ht="12.8" hidden="false" customHeight="false" outlineLevel="0" collapsed="false">
      <c r="A503" s="57" t="n">
        <v>46240</v>
      </c>
      <c r="B503" s="0" t="s">
        <v>592</v>
      </c>
      <c r="C503" s="0" t="s">
        <v>13</v>
      </c>
      <c r="D503" s="0" t="s">
        <v>95</v>
      </c>
      <c r="E503" s="58" t="str">
        <f aca="false">VLOOKUP(D503,Models!$A$2:$B$13,2,0)</f>
        <v>32-inch HD TV</v>
      </c>
      <c r="F503" s="0" t="s">
        <v>69</v>
      </c>
      <c r="G503" s="58" t="str">
        <f aca="false">VLOOKUP(F503,Countries!$A$2:$B$11,2,0)</f>
        <v>Egypt</v>
      </c>
      <c r="H503" s="13" t="n">
        <v>40</v>
      </c>
      <c r="I503" s="13" t="n">
        <v>156000</v>
      </c>
      <c r="J503" s="0" t="s">
        <v>14</v>
      </c>
      <c r="K503" s="0" t="s">
        <v>577</v>
      </c>
    </row>
    <row r="504" customFormat="false" ht="12.8" hidden="false" customHeight="false" outlineLevel="0" collapsed="false">
      <c r="A504" s="57" t="n">
        <v>46240</v>
      </c>
      <c r="B504" s="0" t="s">
        <v>593</v>
      </c>
      <c r="C504" s="0" t="s">
        <v>13</v>
      </c>
      <c r="D504" s="0" t="s">
        <v>85</v>
      </c>
      <c r="E504" s="58" t="str">
        <f aca="false">VLOOKUP(D504,Models!$A$2:$B$13,2,0)</f>
        <v>75-inch 4K TV</v>
      </c>
      <c r="F504" s="0" t="s">
        <v>69</v>
      </c>
      <c r="G504" s="58" t="str">
        <f aca="false">VLOOKUP(F504,Countries!$A$2:$B$11,2,0)</f>
        <v>Egypt</v>
      </c>
      <c r="H504" s="13" t="n">
        <v>5</v>
      </c>
      <c r="I504" s="13" t="n">
        <v>156000</v>
      </c>
      <c r="J504" s="0" t="s">
        <v>14</v>
      </c>
      <c r="K504" s="0" t="s">
        <v>577</v>
      </c>
    </row>
    <row r="505" customFormat="false" ht="12.8" hidden="false" customHeight="false" outlineLevel="0" collapsed="false">
      <c r="A505" s="57" t="n">
        <v>46240</v>
      </c>
      <c r="B505" s="0" t="s">
        <v>594</v>
      </c>
      <c r="C505" s="0" t="s">
        <v>13</v>
      </c>
      <c r="D505" s="0" t="s">
        <v>68</v>
      </c>
      <c r="E505" s="58" t="str">
        <f aca="false">VLOOKUP(D505,Models!$A$2:$B$13,2,0)</f>
        <v>50-inch 4K TV</v>
      </c>
      <c r="F505" s="0" t="s">
        <v>69</v>
      </c>
      <c r="G505" s="58" t="str">
        <f aca="false">VLOOKUP(F505,Countries!$A$2:$B$11,2,0)</f>
        <v>Egypt</v>
      </c>
      <c r="H505" s="13" t="n">
        <v>33</v>
      </c>
      <c r="I505" s="13" t="n">
        <v>343200</v>
      </c>
      <c r="J505" s="0" t="s">
        <v>14</v>
      </c>
      <c r="K505" s="0" t="s">
        <v>577</v>
      </c>
    </row>
    <row r="506" customFormat="false" ht="12.8" hidden="false" customHeight="false" outlineLevel="0" collapsed="false">
      <c r="A506" s="57" t="n">
        <v>46240</v>
      </c>
      <c r="B506" s="0" t="s">
        <v>595</v>
      </c>
      <c r="C506" s="0" t="s">
        <v>13</v>
      </c>
      <c r="D506" s="0" t="s">
        <v>90</v>
      </c>
      <c r="E506" s="58" t="str">
        <f aca="false">VLOOKUP(D506,Models!$A$2:$B$13,2,0)</f>
        <v>55-inch 4K TV</v>
      </c>
      <c r="F506" s="0" t="s">
        <v>69</v>
      </c>
      <c r="G506" s="58" t="str">
        <f aca="false">VLOOKUP(F506,Countries!$A$2:$B$11,2,0)</f>
        <v>Egypt</v>
      </c>
      <c r="H506" s="13" t="n">
        <v>23</v>
      </c>
      <c r="I506" s="13" t="n">
        <v>282900</v>
      </c>
      <c r="J506" s="0" t="s">
        <v>14</v>
      </c>
      <c r="K506" s="0" t="s">
        <v>577</v>
      </c>
    </row>
    <row r="507" customFormat="false" ht="12.8" hidden="false" customHeight="false" outlineLevel="0" collapsed="false">
      <c r="A507" s="57" t="n">
        <v>46240</v>
      </c>
      <c r="B507" s="0" t="s">
        <v>596</v>
      </c>
      <c r="C507" s="0" t="s">
        <v>15</v>
      </c>
      <c r="D507" s="0" t="s">
        <v>88</v>
      </c>
      <c r="E507" s="58" t="str">
        <f aca="false">VLOOKUP(D507,Models!$A$2:$B$13,2,0)</f>
        <v>24-inch HD TV</v>
      </c>
      <c r="F507" s="0" t="s">
        <v>103</v>
      </c>
      <c r="G507" s="58" t="str">
        <f aca="false">VLOOKUP(F507,Countries!$A$2:$B$11,2,0)</f>
        <v>Morocco</v>
      </c>
      <c r="H507" s="13" t="n">
        <v>55</v>
      </c>
      <c r="I507" s="13" t="n">
        <v>159500</v>
      </c>
      <c r="J507" s="0" t="s">
        <v>14</v>
      </c>
      <c r="K507" s="0" t="s">
        <v>577</v>
      </c>
    </row>
    <row r="508" customFormat="false" ht="12.8" hidden="false" customHeight="false" outlineLevel="0" collapsed="false">
      <c r="A508" s="57" t="n">
        <v>46240</v>
      </c>
      <c r="B508" s="0" t="s">
        <v>597</v>
      </c>
      <c r="C508" s="0" t="s">
        <v>15</v>
      </c>
      <c r="D508" s="0" t="s">
        <v>81</v>
      </c>
      <c r="E508" s="58" t="str">
        <f aca="false">VLOOKUP(D508,Models!$A$2:$B$13,2,0)</f>
        <v>43-inch Smart TV</v>
      </c>
      <c r="F508" s="0" t="s">
        <v>83</v>
      </c>
      <c r="G508" s="58" t="str">
        <f aca="false">VLOOKUP(F508,Countries!$A$2:$B$11,2,0)</f>
        <v>United Arab Emirates</v>
      </c>
      <c r="H508" s="13" t="n">
        <v>43</v>
      </c>
      <c r="I508" s="13" t="n">
        <v>335400</v>
      </c>
      <c r="J508" s="0" t="s">
        <v>14</v>
      </c>
      <c r="K508" s="0" t="s">
        <v>577</v>
      </c>
    </row>
    <row r="509" customFormat="false" ht="12.8" hidden="false" customHeight="false" outlineLevel="0" collapsed="false">
      <c r="A509" s="57" t="n">
        <v>46240</v>
      </c>
      <c r="B509" s="0" t="s">
        <v>598</v>
      </c>
      <c r="C509" s="0" t="s">
        <v>17</v>
      </c>
      <c r="D509" s="0" t="s">
        <v>68</v>
      </c>
      <c r="E509" s="58" t="str">
        <f aca="false">VLOOKUP(D509,Models!$A$2:$B$13,2,0)</f>
        <v>50-inch 4K TV</v>
      </c>
      <c r="F509" s="0" t="s">
        <v>177</v>
      </c>
      <c r="G509" s="58" t="str">
        <f aca="false">VLOOKUP(F509,Countries!$A$2:$B$11,2,0)</f>
        <v>Saudi Arabia</v>
      </c>
      <c r="H509" s="13" t="n">
        <v>26</v>
      </c>
      <c r="I509" s="13" t="n">
        <v>270400</v>
      </c>
      <c r="J509" s="0" t="s">
        <v>14</v>
      </c>
      <c r="K509" s="0" t="s">
        <v>577</v>
      </c>
    </row>
    <row r="510" customFormat="false" ht="12.8" hidden="false" customHeight="false" outlineLevel="0" collapsed="false">
      <c r="A510" s="57" t="n">
        <v>46240</v>
      </c>
      <c r="B510" s="0" t="s">
        <v>599</v>
      </c>
      <c r="C510" s="0" t="s">
        <v>17</v>
      </c>
      <c r="D510" s="0" t="s">
        <v>64</v>
      </c>
      <c r="E510" s="58" t="str">
        <f aca="false">VLOOKUP(D510,Models!$A$2:$B$13,2,0)</f>
        <v>32-inch Smart TV</v>
      </c>
      <c r="F510" s="0" t="s">
        <v>69</v>
      </c>
      <c r="G510" s="58" t="str">
        <f aca="false">VLOOKUP(F510,Countries!$A$2:$B$11,2,0)</f>
        <v>Egypt</v>
      </c>
      <c r="H510" s="13" t="n">
        <v>34</v>
      </c>
      <c r="I510" s="13" t="n">
        <v>156400</v>
      </c>
      <c r="J510" s="0" t="s">
        <v>14</v>
      </c>
      <c r="K510" s="0" t="s">
        <v>577</v>
      </c>
    </row>
    <row r="511" customFormat="false" ht="12.8" hidden="false" customHeight="false" outlineLevel="0" collapsed="false">
      <c r="A511" s="57" t="n">
        <v>46240</v>
      </c>
      <c r="B511" s="0" t="s">
        <v>600</v>
      </c>
      <c r="C511" s="0" t="s">
        <v>19</v>
      </c>
      <c r="D511" s="0" t="s">
        <v>81</v>
      </c>
      <c r="E511" s="58" t="str">
        <f aca="false">VLOOKUP(D511,Models!$A$2:$B$13,2,0)</f>
        <v>43-inch Smart TV</v>
      </c>
      <c r="F511" s="0" t="s">
        <v>69</v>
      </c>
      <c r="G511" s="58" t="str">
        <f aca="false">VLOOKUP(F511,Countries!$A$2:$B$11,2,0)</f>
        <v>Egypt</v>
      </c>
      <c r="H511" s="13" t="n">
        <v>9</v>
      </c>
      <c r="I511" s="13" t="n">
        <v>70200</v>
      </c>
      <c r="J511" s="0" t="s">
        <v>14</v>
      </c>
      <c r="K511" s="0" t="s">
        <v>577</v>
      </c>
    </row>
    <row r="512" customFormat="false" ht="12.8" hidden="false" customHeight="false" outlineLevel="0" collapsed="false">
      <c r="A512" s="57" t="n">
        <v>46240</v>
      </c>
      <c r="B512" s="0" t="s">
        <v>601</v>
      </c>
      <c r="C512" s="0" t="s">
        <v>20</v>
      </c>
      <c r="D512" s="0" t="s">
        <v>88</v>
      </c>
      <c r="E512" s="58" t="str">
        <f aca="false">VLOOKUP(D512,Models!$A$2:$B$13,2,0)</f>
        <v>24-inch HD TV</v>
      </c>
      <c r="F512" s="0" t="s">
        <v>177</v>
      </c>
      <c r="G512" s="58" t="str">
        <f aca="false">VLOOKUP(F512,Countries!$A$2:$B$11,2,0)</f>
        <v>Saudi Arabia</v>
      </c>
      <c r="H512" s="13" t="n">
        <v>43</v>
      </c>
      <c r="I512" s="13" t="n">
        <v>124700</v>
      </c>
      <c r="J512" s="0" t="s">
        <v>14</v>
      </c>
      <c r="K512" s="0" t="s">
        <v>577</v>
      </c>
    </row>
    <row r="513" customFormat="false" ht="12.8" hidden="false" customHeight="false" outlineLevel="0" collapsed="false">
      <c r="A513" s="57" t="n">
        <v>46240</v>
      </c>
      <c r="B513" s="0" t="s">
        <v>602</v>
      </c>
      <c r="C513" s="0" t="s">
        <v>21</v>
      </c>
      <c r="D513" s="0" t="s">
        <v>68</v>
      </c>
      <c r="E513" s="58" t="str">
        <f aca="false">VLOOKUP(D513,Models!$A$2:$B$13,2,0)</f>
        <v>50-inch 4K TV</v>
      </c>
      <c r="F513" s="0" t="s">
        <v>69</v>
      </c>
      <c r="G513" s="58" t="str">
        <f aca="false">VLOOKUP(F513,Countries!$A$2:$B$11,2,0)</f>
        <v>Egypt</v>
      </c>
      <c r="H513" s="13" t="n">
        <v>22</v>
      </c>
      <c r="I513" s="13" t="n">
        <v>228800</v>
      </c>
      <c r="J513" s="0" t="s">
        <v>14</v>
      </c>
      <c r="K513" s="0" t="s">
        <v>577</v>
      </c>
    </row>
    <row r="514" customFormat="false" ht="12.8" hidden="false" customHeight="false" outlineLevel="0" collapsed="false">
      <c r="A514" s="57" t="n">
        <v>46242</v>
      </c>
      <c r="B514" s="0" t="s">
        <v>603</v>
      </c>
      <c r="C514" s="0" t="s">
        <v>13</v>
      </c>
      <c r="D514" s="0" t="s">
        <v>109</v>
      </c>
      <c r="E514" s="58" t="str">
        <f aca="false">VLOOKUP(D514,Models!$A$2:$B$13,2,0)</f>
        <v>55-inch QLED TV</v>
      </c>
      <c r="F514" s="0" t="s">
        <v>69</v>
      </c>
      <c r="G514" s="58" t="str">
        <f aca="false">VLOOKUP(F514,Countries!$A$2:$B$11,2,0)</f>
        <v>Egypt</v>
      </c>
      <c r="H514" s="13" t="n">
        <v>32</v>
      </c>
      <c r="I514" s="13" t="n">
        <v>499200</v>
      </c>
      <c r="J514" s="0" t="s">
        <v>14</v>
      </c>
      <c r="K514" s="0" t="s">
        <v>577</v>
      </c>
    </row>
    <row r="515" customFormat="false" ht="12.8" hidden="false" customHeight="false" outlineLevel="0" collapsed="false">
      <c r="A515" s="57" t="n">
        <v>46242</v>
      </c>
      <c r="B515" s="0" t="s">
        <v>604</v>
      </c>
      <c r="C515" s="0" t="s">
        <v>13</v>
      </c>
      <c r="D515" s="0" t="s">
        <v>68</v>
      </c>
      <c r="E515" s="58" t="str">
        <f aca="false">VLOOKUP(D515,Models!$A$2:$B$13,2,0)</f>
        <v>50-inch 4K TV</v>
      </c>
      <c r="F515" s="0" t="s">
        <v>75</v>
      </c>
      <c r="G515" s="58" t="str">
        <f aca="false">VLOOKUP(F515,Countries!$A$2:$B$11,2,0)</f>
        <v>Nigeria</v>
      </c>
      <c r="H515" s="13" t="n">
        <v>34</v>
      </c>
      <c r="I515" s="13" t="n">
        <v>353600</v>
      </c>
      <c r="J515" s="0" t="s">
        <v>14</v>
      </c>
      <c r="K515" s="0" t="s">
        <v>577</v>
      </c>
    </row>
    <row r="516" customFormat="false" ht="12.8" hidden="false" customHeight="false" outlineLevel="0" collapsed="false">
      <c r="A516" s="57" t="n">
        <v>46242</v>
      </c>
      <c r="B516" s="0" t="s">
        <v>605</v>
      </c>
      <c r="C516" s="0" t="s">
        <v>15</v>
      </c>
      <c r="D516" s="0" t="s">
        <v>95</v>
      </c>
      <c r="E516" s="58" t="str">
        <f aca="false">VLOOKUP(D516,Models!$A$2:$B$13,2,0)</f>
        <v>32-inch HD TV</v>
      </c>
      <c r="F516" s="0" t="s">
        <v>69</v>
      </c>
      <c r="G516" s="58" t="str">
        <f aca="false">VLOOKUP(F516,Countries!$A$2:$B$11,2,0)</f>
        <v>Egypt</v>
      </c>
      <c r="H516" s="13" t="n">
        <v>31</v>
      </c>
      <c r="I516" s="13" t="n">
        <v>120900</v>
      </c>
      <c r="J516" s="0" t="s">
        <v>14</v>
      </c>
      <c r="K516" s="0" t="s">
        <v>577</v>
      </c>
    </row>
    <row r="517" customFormat="false" ht="12.8" hidden="false" customHeight="false" outlineLevel="0" collapsed="false">
      <c r="A517" s="57" t="n">
        <v>46242</v>
      </c>
      <c r="B517" s="0" t="s">
        <v>606</v>
      </c>
      <c r="C517" s="0" t="s">
        <v>17</v>
      </c>
      <c r="D517" s="0" t="s">
        <v>77</v>
      </c>
      <c r="E517" s="58" t="str">
        <f aca="false">VLOOKUP(D517,Models!$A$2:$B$13,2,0)</f>
        <v>65-inch QLED TV</v>
      </c>
      <c r="F517" s="0" t="s">
        <v>65</v>
      </c>
      <c r="G517" s="58" t="str">
        <f aca="false">VLOOKUP(F517,Countries!$A$2:$B$11,2,0)</f>
        <v>Jordan</v>
      </c>
      <c r="H517" s="13" t="n">
        <v>18</v>
      </c>
      <c r="I517" s="13" t="n">
        <v>441000</v>
      </c>
      <c r="J517" s="0" t="s">
        <v>14</v>
      </c>
      <c r="K517" s="0" t="s">
        <v>577</v>
      </c>
    </row>
    <row r="518" customFormat="false" ht="12.8" hidden="false" customHeight="false" outlineLevel="0" collapsed="false">
      <c r="A518" s="57" t="n">
        <v>46242</v>
      </c>
      <c r="B518" s="0" t="s">
        <v>607</v>
      </c>
      <c r="C518" s="0" t="s">
        <v>17</v>
      </c>
      <c r="D518" s="0" t="s">
        <v>88</v>
      </c>
      <c r="E518" s="58" t="str">
        <f aca="false">VLOOKUP(D518,Models!$A$2:$B$13,2,0)</f>
        <v>24-inch HD TV</v>
      </c>
      <c r="F518" s="0" t="s">
        <v>98</v>
      </c>
      <c r="G518" s="58" t="str">
        <f aca="false">VLOOKUP(F518,Countries!$A$2:$B$11,2,0)</f>
        <v>Libya</v>
      </c>
      <c r="H518" s="13" t="n">
        <v>20</v>
      </c>
      <c r="I518" s="13" t="n">
        <v>58000</v>
      </c>
      <c r="J518" s="0" t="s">
        <v>14</v>
      </c>
      <c r="K518" s="0" t="s">
        <v>577</v>
      </c>
    </row>
    <row r="519" customFormat="false" ht="12.8" hidden="false" customHeight="false" outlineLevel="0" collapsed="false">
      <c r="A519" s="57" t="n">
        <v>46242</v>
      </c>
      <c r="B519" s="0" t="s">
        <v>608</v>
      </c>
      <c r="C519" s="0" t="s">
        <v>17</v>
      </c>
      <c r="D519" s="0" t="s">
        <v>88</v>
      </c>
      <c r="E519" s="58" t="str">
        <f aca="false">VLOOKUP(D519,Models!$A$2:$B$13,2,0)</f>
        <v>24-inch HD TV</v>
      </c>
      <c r="F519" s="0" t="s">
        <v>69</v>
      </c>
      <c r="G519" s="58" t="str">
        <f aca="false">VLOOKUP(F519,Countries!$A$2:$B$11,2,0)</f>
        <v>Egypt</v>
      </c>
      <c r="H519" s="13" t="n">
        <v>51</v>
      </c>
      <c r="I519" s="13" t="n">
        <v>147900</v>
      </c>
      <c r="J519" s="0" t="s">
        <v>14</v>
      </c>
      <c r="K519" s="0" t="s">
        <v>577</v>
      </c>
    </row>
    <row r="520" customFormat="false" ht="12.8" hidden="false" customHeight="false" outlineLevel="0" collapsed="false">
      <c r="A520" s="57" t="n">
        <v>46242</v>
      </c>
      <c r="B520" s="0" t="s">
        <v>609</v>
      </c>
      <c r="C520" s="0" t="s">
        <v>17</v>
      </c>
      <c r="D520" s="0" t="s">
        <v>81</v>
      </c>
      <c r="E520" s="58" t="str">
        <f aca="false">VLOOKUP(D520,Models!$A$2:$B$13,2,0)</f>
        <v>43-inch Smart TV</v>
      </c>
      <c r="F520" s="0" t="s">
        <v>69</v>
      </c>
      <c r="G520" s="58" t="str">
        <f aca="false">VLOOKUP(F520,Countries!$A$2:$B$11,2,0)</f>
        <v>Egypt</v>
      </c>
      <c r="H520" s="13" t="n">
        <v>40</v>
      </c>
      <c r="I520" s="13" t="n">
        <v>312000</v>
      </c>
      <c r="J520" s="0" t="s">
        <v>14</v>
      </c>
      <c r="K520" s="0" t="s">
        <v>577</v>
      </c>
    </row>
    <row r="521" customFormat="false" ht="12.8" hidden="false" customHeight="false" outlineLevel="0" collapsed="false">
      <c r="A521" s="57" t="n">
        <v>46242</v>
      </c>
      <c r="B521" s="0" t="s">
        <v>610</v>
      </c>
      <c r="C521" s="0" t="s">
        <v>17</v>
      </c>
      <c r="D521" s="0" t="s">
        <v>77</v>
      </c>
      <c r="E521" s="58" t="str">
        <f aca="false">VLOOKUP(D521,Models!$A$2:$B$13,2,0)</f>
        <v>65-inch QLED TV</v>
      </c>
      <c r="F521" s="0" t="s">
        <v>101</v>
      </c>
      <c r="G521" s="58" t="str">
        <f aca="false">VLOOKUP(F521,Countries!$A$2:$B$11,2,0)</f>
        <v>Kuwait</v>
      </c>
      <c r="H521" s="13" t="n">
        <v>19</v>
      </c>
      <c r="I521" s="13" t="n">
        <v>465500</v>
      </c>
      <c r="J521" s="0" t="s">
        <v>14</v>
      </c>
      <c r="K521" s="0" t="s">
        <v>577</v>
      </c>
    </row>
    <row r="522" customFormat="false" ht="12.8" hidden="false" customHeight="false" outlineLevel="0" collapsed="false">
      <c r="A522" s="57" t="n">
        <v>46242</v>
      </c>
      <c r="B522" s="0" t="s">
        <v>611</v>
      </c>
      <c r="C522" s="0" t="s">
        <v>19</v>
      </c>
      <c r="D522" s="0" t="s">
        <v>95</v>
      </c>
      <c r="E522" s="58" t="str">
        <f aca="false">VLOOKUP(D522,Models!$A$2:$B$13,2,0)</f>
        <v>32-inch HD TV</v>
      </c>
      <c r="F522" s="0" t="s">
        <v>69</v>
      </c>
      <c r="G522" s="58" t="str">
        <f aca="false">VLOOKUP(F522,Countries!$A$2:$B$11,2,0)</f>
        <v>Egypt</v>
      </c>
      <c r="H522" s="13" t="n">
        <v>23</v>
      </c>
      <c r="I522" s="13" t="n">
        <v>89700</v>
      </c>
      <c r="J522" s="0" t="s">
        <v>14</v>
      </c>
      <c r="K522" s="0" t="s">
        <v>577</v>
      </c>
    </row>
    <row r="523" customFormat="false" ht="12.8" hidden="false" customHeight="false" outlineLevel="0" collapsed="false">
      <c r="A523" s="57" t="n">
        <v>46242</v>
      </c>
      <c r="B523" s="0" t="s">
        <v>612</v>
      </c>
      <c r="C523" s="0" t="s">
        <v>19</v>
      </c>
      <c r="D523" s="0" t="s">
        <v>71</v>
      </c>
      <c r="E523" s="58" t="str">
        <f aca="false">VLOOKUP(D523,Models!$A$2:$B$13,2,0)</f>
        <v>43-inch Full HD TV</v>
      </c>
      <c r="F523" s="0" t="s">
        <v>69</v>
      </c>
      <c r="G523" s="58" t="str">
        <f aca="false">VLOOKUP(F523,Countries!$A$2:$B$11,2,0)</f>
        <v>Egypt</v>
      </c>
      <c r="H523" s="13" t="n">
        <v>25</v>
      </c>
      <c r="I523" s="13" t="n">
        <v>172500</v>
      </c>
      <c r="J523" s="0" t="s">
        <v>14</v>
      </c>
      <c r="K523" s="0" t="s">
        <v>577</v>
      </c>
    </row>
    <row r="524" customFormat="false" ht="12.8" hidden="false" customHeight="false" outlineLevel="0" collapsed="false">
      <c r="A524" s="57" t="n">
        <v>46242</v>
      </c>
      <c r="B524" s="0" t="s">
        <v>613</v>
      </c>
      <c r="C524" s="0" t="s">
        <v>19</v>
      </c>
      <c r="D524" s="0" t="s">
        <v>85</v>
      </c>
      <c r="E524" s="58" t="str">
        <f aca="false">VLOOKUP(D524,Models!$A$2:$B$13,2,0)</f>
        <v>75-inch 4K TV</v>
      </c>
      <c r="F524" s="0" t="s">
        <v>69</v>
      </c>
      <c r="G524" s="58" t="str">
        <f aca="false">VLOOKUP(F524,Countries!$A$2:$B$11,2,0)</f>
        <v>Egypt</v>
      </c>
      <c r="H524" s="13" t="n">
        <v>12</v>
      </c>
      <c r="I524" s="13" t="n">
        <v>374400</v>
      </c>
      <c r="J524" s="0" t="s">
        <v>14</v>
      </c>
      <c r="K524" s="0" t="s">
        <v>577</v>
      </c>
    </row>
    <row r="525" customFormat="false" ht="12.8" hidden="false" customHeight="false" outlineLevel="0" collapsed="false">
      <c r="A525" s="57" t="n">
        <v>46242</v>
      </c>
      <c r="B525" s="0" t="s">
        <v>614</v>
      </c>
      <c r="C525" s="0" t="s">
        <v>20</v>
      </c>
      <c r="D525" s="0" t="s">
        <v>64</v>
      </c>
      <c r="E525" s="58" t="str">
        <f aca="false">VLOOKUP(D525,Models!$A$2:$B$13,2,0)</f>
        <v>32-inch Smart TV</v>
      </c>
      <c r="F525" s="0" t="s">
        <v>69</v>
      </c>
      <c r="G525" s="58" t="str">
        <f aca="false">VLOOKUP(F525,Countries!$A$2:$B$11,2,0)</f>
        <v>Egypt</v>
      </c>
      <c r="H525" s="13" t="n">
        <v>26</v>
      </c>
      <c r="I525" s="13" t="n">
        <v>119600</v>
      </c>
      <c r="J525" s="0" t="s">
        <v>14</v>
      </c>
      <c r="K525" s="0" t="s">
        <v>577</v>
      </c>
    </row>
    <row r="526" customFormat="false" ht="12.8" hidden="false" customHeight="false" outlineLevel="0" collapsed="false">
      <c r="A526" s="57" t="n">
        <v>46242</v>
      </c>
      <c r="B526" s="0" t="s">
        <v>615</v>
      </c>
      <c r="C526" s="0" t="s">
        <v>20</v>
      </c>
      <c r="D526" s="0" t="s">
        <v>81</v>
      </c>
      <c r="E526" s="58" t="str">
        <f aca="false">VLOOKUP(D526,Models!$A$2:$B$13,2,0)</f>
        <v>43-inch Smart TV</v>
      </c>
      <c r="F526" s="0" t="s">
        <v>103</v>
      </c>
      <c r="G526" s="58" t="str">
        <f aca="false">VLOOKUP(F526,Countries!$A$2:$B$11,2,0)</f>
        <v>Morocco</v>
      </c>
      <c r="H526" s="13" t="n">
        <v>35</v>
      </c>
      <c r="I526" s="13" t="n">
        <v>273000</v>
      </c>
      <c r="J526" s="0" t="s">
        <v>14</v>
      </c>
      <c r="K526" s="0" t="s">
        <v>577</v>
      </c>
    </row>
    <row r="527" customFormat="false" ht="12.8" hidden="false" customHeight="false" outlineLevel="0" collapsed="false">
      <c r="A527" s="57" t="n">
        <v>46242</v>
      </c>
      <c r="B527" s="0" t="s">
        <v>616</v>
      </c>
      <c r="C527" s="0" t="s">
        <v>21</v>
      </c>
      <c r="D527" s="0" t="s">
        <v>64</v>
      </c>
      <c r="E527" s="58" t="str">
        <f aca="false">VLOOKUP(D527,Models!$A$2:$B$13,2,0)</f>
        <v>32-inch Smart TV</v>
      </c>
      <c r="F527" s="0" t="s">
        <v>72</v>
      </c>
      <c r="G527" s="58" t="str">
        <f aca="false">VLOOKUP(F527,Countries!$A$2:$B$11,2,0)</f>
        <v>Kenya</v>
      </c>
      <c r="H527" s="13" t="n">
        <v>29</v>
      </c>
      <c r="I527" s="13" t="n">
        <v>133400</v>
      </c>
      <c r="J527" s="0" t="s">
        <v>14</v>
      </c>
      <c r="K527" s="0" t="s">
        <v>577</v>
      </c>
    </row>
    <row r="528" customFormat="false" ht="12.8" hidden="false" customHeight="false" outlineLevel="0" collapsed="false">
      <c r="A528" s="57" t="n">
        <v>46243</v>
      </c>
      <c r="B528" s="0" t="s">
        <v>617</v>
      </c>
      <c r="C528" s="0" t="s">
        <v>13</v>
      </c>
      <c r="D528" s="0" t="s">
        <v>74</v>
      </c>
      <c r="E528" s="58" t="str">
        <f aca="false">VLOOKUP(D528,Models!$A$2:$B$13,2,0)</f>
        <v>40-inch Full HD TV</v>
      </c>
      <c r="F528" s="0" t="s">
        <v>177</v>
      </c>
      <c r="G528" s="58" t="str">
        <f aca="false">VLOOKUP(F528,Countries!$A$2:$B$11,2,0)</f>
        <v>Saudi Arabia</v>
      </c>
      <c r="H528" s="13" t="n">
        <v>34</v>
      </c>
      <c r="I528" s="13" t="n">
        <v>210800</v>
      </c>
      <c r="J528" s="0" t="s">
        <v>14</v>
      </c>
      <c r="K528" s="0" t="s">
        <v>577</v>
      </c>
    </row>
    <row r="529" customFormat="false" ht="12.8" hidden="false" customHeight="false" outlineLevel="0" collapsed="false">
      <c r="A529" s="57" t="n">
        <v>46243</v>
      </c>
      <c r="B529" s="0" t="s">
        <v>618</v>
      </c>
      <c r="C529" s="0" t="s">
        <v>15</v>
      </c>
      <c r="D529" s="0" t="s">
        <v>109</v>
      </c>
      <c r="E529" s="58" t="str">
        <f aca="false">VLOOKUP(D529,Models!$A$2:$B$13,2,0)</f>
        <v>55-inch QLED TV</v>
      </c>
      <c r="F529" s="0" t="s">
        <v>69</v>
      </c>
      <c r="G529" s="58" t="str">
        <f aca="false">VLOOKUP(F529,Countries!$A$2:$B$11,2,0)</f>
        <v>Egypt</v>
      </c>
      <c r="H529" s="13" t="n">
        <v>10</v>
      </c>
      <c r="I529" s="13" t="n">
        <v>156000</v>
      </c>
      <c r="J529" s="0" t="s">
        <v>14</v>
      </c>
      <c r="K529" s="0" t="s">
        <v>577</v>
      </c>
    </row>
    <row r="530" customFormat="false" ht="12.8" hidden="false" customHeight="false" outlineLevel="0" collapsed="false">
      <c r="A530" s="57" t="n">
        <v>46243</v>
      </c>
      <c r="B530" s="0" t="s">
        <v>619</v>
      </c>
      <c r="C530" s="0" t="s">
        <v>15</v>
      </c>
      <c r="D530" s="0" t="s">
        <v>68</v>
      </c>
      <c r="E530" s="58" t="str">
        <f aca="false">VLOOKUP(D530,Models!$A$2:$B$13,2,0)</f>
        <v>50-inch 4K TV</v>
      </c>
      <c r="F530" s="0" t="s">
        <v>69</v>
      </c>
      <c r="G530" s="58" t="str">
        <f aca="false">VLOOKUP(F530,Countries!$A$2:$B$11,2,0)</f>
        <v>Egypt</v>
      </c>
      <c r="H530" s="13" t="n">
        <v>10</v>
      </c>
      <c r="I530" s="13" t="n">
        <v>104000</v>
      </c>
      <c r="J530" s="0" t="s">
        <v>14</v>
      </c>
      <c r="K530" s="0" t="s">
        <v>577</v>
      </c>
    </row>
    <row r="531" customFormat="false" ht="12.8" hidden="false" customHeight="false" outlineLevel="0" collapsed="false">
      <c r="A531" s="57" t="n">
        <v>46243</v>
      </c>
      <c r="B531" s="0" t="s">
        <v>620</v>
      </c>
      <c r="C531" s="0" t="s">
        <v>17</v>
      </c>
      <c r="D531" s="0" t="s">
        <v>88</v>
      </c>
      <c r="E531" s="58" t="str">
        <f aca="false">VLOOKUP(D531,Models!$A$2:$B$13,2,0)</f>
        <v>24-inch HD TV</v>
      </c>
      <c r="F531" s="0" t="s">
        <v>69</v>
      </c>
      <c r="G531" s="58" t="str">
        <f aca="false">VLOOKUP(F531,Countries!$A$2:$B$11,2,0)</f>
        <v>Egypt</v>
      </c>
      <c r="H531" s="13" t="n">
        <v>48</v>
      </c>
      <c r="I531" s="13" t="n">
        <v>139200</v>
      </c>
      <c r="J531" s="0" t="s">
        <v>14</v>
      </c>
      <c r="K531" s="0" t="s">
        <v>577</v>
      </c>
    </row>
    <row r="532" customFormat="false" ht="12.8" hidden="false" customHeight="false" outlineLevel="0" collapsed="false">
      <c r="A532" s="57" t="n">
        <v>46243</v>
      </c>
      <c r="B532" s="0" t="s">
        <v>621</v>
      </c>
      <c r="C532" s="0" t="s">
        <v>17</v>
      </c>
      <c r="D532" s="0" t="s">
        <v>74</v>
      </c>
      <c r="E532" s="58" t="str">
        <f aca="false">VLOOKUP(D532,Models!$A$2:$B$13,2,0)</f>
        <v>40-inch Full HD TV</v>
      </c>
      <c r="F532" s="0" t="s">
        <v>69</v>
      </c>
      <c r="G532" s="58" t="str">
        <f aca="false">VLOOKUP(F532,Countries!$A$2:$B$11,2,0)</f>
        <v>Egypt</v>
      </c>
      <c r="H532" s="13" t="n">
        <v>49</v>
      </c>
      <c r="I532" s="13" t="n">
        <v>303800</v>
      </c>
      <c r="J532" s="0" t="s">
        <v>14</v>
      </c>
      <c r="K532" s="0" t="s">
        <v>577</v>
      </c>
    </row>
    <row r="533" customFormat="false" ht="12.8" hidden="false" customHeight="false" outlineLevel="0" collapsed="false">
      <c r="A533" s="57" t="n">
        <v>46243</v>
      </c>
      <c r="B533" s="0" t="s">
        <v>622</v>
      </c>
      <c r="C533" s="0" t="s">
        <v>17</v>
      </c>
      <c r="D533" s="0" t="s">
        <v>77</v>
      </c>
      <c r="E533" s="58" t="str">
        <f aca="false">VLOOKUP(D533,Models!$A$2:$B$13,2,0)</f>
        <v>65-inch QLED TV</v>
      </c>
      <c r="F533" s="0" t="s">
        <v>69</v>
      </c>
      <c r="G533" s="58" t="str">
        <f aca="false">VLOOKUP(F533,Countries!$A$2:$B$11,2,0)</f>
        <v>Egypt</v>
      </c>
      <c r="H533" s="13" t="n">
        <v>19</v>
      </c>
      <c r="I533" s="13" t="n">
        <v>465500</v>
      </c>
      <c r="J533" s="0" t="s">
        <v>14</v>
      </c>
      <c r="K533" s="0" t="s">
        <v>577</v>
      </c>
    </row>
    <row r="534" customFormat="false" ht="12.8" hidden="false" customHeight="false" outlineLevel="0" collapsed="false">
      <c r="A534" s="57" t="n">
        <v>46243</v>
      </c>
      <c r="B534" s="0" t="s">
        <v>623</v>
      </c>
      <c r="C534" s="0" t="s">
        <v>19</v>
      </c>
      <c r="D534" s="0" t="s">
        <v>81</v>
      </c>
      <c r="E534" s="58" t="str">
        <f aca="false">VLOOKUP(D534,Models!$A$2:$B$13,2,0)</f>
        <v>43-inch Smart TV</v>
      </c>
      <c r="F534" s="0" t="s">
        <v>83</v>
      </c>
      <c r="G534" s="58" t="str">
        <f aca="false">VLOOKUP(F534,Countries!$A$2:$B$11,2,0)</f>
        <v>United Arab Emirates</v>
      </c>
      <c r="H534" s="13" t="n">
        <v>35</v>
      </c>
      <c r="I534" s="13" t="n">
        <v>273000</v>
      </c>
      <c r="J534" s="0" t="s">
        <v>14</v>
      </c>
      <c r="K534" s="0" t="s">
        <v>577</v>
      </c>
    </row>
    <row r="535" customFormat="false" ht="12.8" hidden="false" customHeight="false" outlineLevel="0" collapsed="false">
      <c r="A535" s="57" t="n">
        <v>46243</v>
      </c>
      <c r="B535" s="0" t="s">
        <v>624</v>
      </c>
      <c r="C535" s="0" t="s">
        <v>19</v>
      </c>
      <c r="D535" s="0" t="s">
        <v>92</v>
      </c>
      <c r="E535" s="58" t="str">
        <f aca="false">VLOOKUP(D535,Models!$A$2:$B$13,2,0)</f>
        <v>65-inch 4K TV</v>
      </c>
      <c r="F535" s="0" t="s">
        <v>69</v>
      </c>
      <c r="G535" s="58" t="str">
        <f aca="false">VLOOKUP(F535,Countries!$A$2:$B$11,2,0)</f>
        <v>Egypt</v>
      </c>
      <c r="H535" s="13" t="n">
        <v>15</v>
      </c>
      <c r="I535" s="13" t="n">
        <v>297000</v>
      </c>
      <c r="J535" s="0" t="s">
        <v>14</v>
      </c>
      <c r="K535" s="0" t="s">
        <v>577</v>
      </c>
    </row>
    <row r="536" customFormat="false" ht="12.8" hidden="false" customHeight="false" outlineLevel="0" collapsed="false">
      <c r="A536" s="57" t="n">
        <v>46243</v>
      </c>
      <c r="B536" s="0" t="s">
        <v>625</v>
      </c>
      <c r="C536" s="0" t="s">
        <v>20</v>
      </c>
      <c r="D536" s="0" t="s">
        <v>68</v>
      </c>
      <c r="E536" s="58" t="str">
        <f aca="false">VLOOKUP(D536,Models!$A$2:$B$13,2,0)</f>
        <v>50-inch 4K TV</v>
      </c>
      <c r="F536" s="0" t="s">
        <v>69</v>
      </c>
      <c r="G536" s="58" t="str">
        <f aca="false">VLOOKUP(F536,Countries!$A$2:$B$11,2,0)</f>
        <v>Egypt</v>
      </c>
      <c r="H536" s="13" t="n">
        <v>28</v>
      </c>
      <c r="I536" s="13" t="n">
        <v>291200</v>
      </c>
      <c r="J536" s="0" t="s">
        <v>14</v>
      </c>
      <c r="K536" s="0" t="s">
        <v>577</v>
      </c>
    </row>
    <row r="537" customFormat="false" ht="12.8" hidden="false" customHeight="false" outlineLevel="0" collapsed="false">
      <c r="A537" s="57" t="n">
        <v>46243</v>
      </c>
      <c r="B537" s="0" t="s">
        <v>626</v>
      </c>
      <c r="C537" s="0" t="s">
        <v>20</v>
      </c>
      <c r="D537" s="0" t="s">
        <v>64</v>
      </c>
      <c r="E537" s="58" t="str">
        <f aca="false">VLOOKUP(D537,Models!$A$2:$B$13,2,0)</f>
        <v>32-inch Smart TV</v>
      </c>
      <c r="F537" s="0" t="s">
        <v>103</v>
      </c>
      <c r="G537" s="58" t="str">
        <f aca="false">VLOOKUP(F537,Countries!$A$2:$B$11,2,0)</f>
        <v>Morocco</v>
      </c>
      <c r="H537" s="13" t="n">
        <v>38</v>
      </c>
      <c r="I537" s="13" t="n">
        <v>174800</v>
      </c>
      <c r="J537" s="0" t="s">
        <v>14</v>
      </c>
      <c r="K537" s="0" t="s">
        <v>577</v>
      </c>
    </row>
    <row r="538" customFormat="false" ht="12.8" hidden="false" customHeight="false" outlineLevel="0" collapsed="false">
      <c r="A538" s="57" t="n">
        <v>46243</v>
      </c>
      <c r="B538" s="0" t="s">
        <v>627</v>
      </c>
      <c r="C538" s="0" t="s">
        <v>20</v>
      </c>
      <c r="D538" s="0" t="s">
        <v>109</v>
      </c>
      <c r="E538" s="58" t="str">
        <f aca="false">VLOOKUP(D538,Models!$A$2:$B$13,2,0)</f>
        <v>55-inch QLED TV</v>
      </c>
      <c r="F538" s="0" t="s">
        <v>69</v>
      </c>
      <c r="G538" s="58" t="str">
        <f aca="false">VLOOKUP(F538,Countries!$A$2:$B$11,2,0)</f>
        <v>Egypt</v>
      </c>
      <c r="H538" s="13" t="n">
        <v>26</v>
      </c>
      <c r="I538" s="13" t="n">
        <v>405600</v>
      </c>
      <c r="J538" s="0" t="s">
        <v>14</v>
      </c>
      <c r="K538" s="0" t="s">
        <v>577</v>
      </c>
    </row>
    <row r="539" customFormat="false" ht="12.8" hidden="false" customHeight="false" outlineLevel="0" collapsed="false">
      <c r="A539" s="57" t="n">
        <v>46243</v>
      </c>
      <c r="B539" s="0" t="s">
        <v>628</v>
      </c>
      <c r="C539" s="0" t="s">
        <v>21</v>
      </c>
      <c r="D539" s="0" t="s">
        <v>81</v>
      </c>
      <c r="E539" s="58" t="str">
        <f aca="false">VLOOKUP(D539,Models!$A$2:$B$13,2,0)</f>
        <v>43-inch Smart TV</v>
      </c>
      <c r="F539" s="0" t="s">
        <v>69</v>
      </c>
      <c r="G539" s="58" t="str">
        <f aca="false">VLOOKUP(F539,Countries!$A$2:$B$11,2,0)</f>
        <v>Egypt</v>
      </c>
      <c r="H539" s="13" t="n">
        <v>21</v>
      </c>
      <c r="I539" s="13" t="n">
        <v>163800</v>
      </c>
      <c r="J539" s="0" t="s">
        <v>14</v>
      </c>
      <c r="K539" s="0" t="s">
        <v>577</v>
      </c>
    </row>
    <row r="540" customFormat="false" ht="12.8" hidden="false" customHeight="false" outlineLevel="0" collapsed="false">
      <c r="A540" s="57" t="n">
        <v>46243</v>
      </c>
      <c r="B540" s="0" t="s">
        <v>629</v>
      </c>
      <c r="C540" s="0" t="s">
        <v>21</v>
      </c>
      <c r="D540" s="0" t="s">
        <v>90</v>
      </c>
      <c r="E540" s="58" t="str">
        <f aca="false">VLOOKUP(D540,Models!$A$2:$B$13,2,0)</f>
        <v>55-inch 4K TV</v>
      </c>
      <c r="F540" s="0" t="s">
        <v>75</v>
      </c>
      <c r="G540" s="58" t="str">
        <f aca="false">VLOOKUP(F540,Countries!$A$2:$B$11,2,0)</f>
        <v>Nigeria</v>
      </c>
      <c r="H540" s="13" t="n">
        <v>29</v>
      </c>
      <c r="I540" s="13" t="n">
        <v>356700</v>
      </c>
      <c r="J540" s="0" t="s">
        <v>14</v>
      </c>
      <c r="K540" s="0" t="s">
        <v>577</v>
      </c>
    </row>
    <row r="541" customFormat="false" ht="12.8" hidden="false" customHeight="false" outlineLevel="0" collapsed="false">
      <c r="A541" s="57" t="n">
        <v>46244</v>
      </c>
      <c r="B541" s="0" t="s">
        <v>630</v>
      </c>
      <c r="C541" s="0" t="s">
        <v>13</v>
      </c>
      <c r="D541" s="0" t="s">
        <v>68</v>
      </c>
      <c r="E541" s="58" t="str">
        <f aca="false">VLOOKUP(D541,Models!$A$2:$B$13,2,0)</f>
        <v>50-inch 4K TV</v>
      </c>
      <c r="F541" s="0" t="s">
        <v>98</v>
      </c>
      <c r="G541" s="58" t="str">
        <f aca="false">VLOOKUP(F541,Countries!$A$2:$B$11,2,0)</f>
        <v>Libya</v>
      </c>
      <c r="H541" s="13" t="n">
        <v>26</v>
      </c>
      <c r="I541" s="13" t="n">
        <v>270400</v>
      </c>
      <c r="J541" s="0" t="s">
        <v>14</v>
      </c>
      <c r="K541" s="0" t="s">
        <v>577</v>
      </c>
    </row>
    <row r="542" customFormat="false" ht="12.8" hidden="false" customHeight="false" outlineLevel="0" collapsed="false">
      <c r="A542" s="57" t="n">
        <v>46244</v>
      </c>
      <c r="B542" s="0" t="s">
        <v>631</v>
      </c>
      <c r="C542" s="0" t="s">
        <v>13</v>
      </c>
      <c r="D542" s="0" t="s">
        <v>90</v>
      </c>
      <c r="E542" s="58" t="str">
        <f aca="false">VLOOKUP(D542,Models!$A$2:$B$13,2,0)</f>
        <v>55-inch 4K TV</v>
      </c>
      <c r="F542" s="0" t="s">
        <v>103</v>
      </c>
      <c r="G542" s="58" t="str">
        <f aca="false">VLOOKUP(F542,Countries!$A$2:$B$11,2,0)</f>
        <v>Morocco</v>
      </c>
      <c r="H542" s="13" t="n">
        <v>7</v>
      </c>
      <c r="I542" s="13" t="n">
        <v>86100</v>
      </c>
      <c r="J542" s="0" t="s">
        <v>14</v>
      </c>
      <c r="K542" s="0" t="s">
        <v>577</v>
      </c>
    </row>
    <row r="543" customFormat="false" ht="12.8" hidden="false" customHeight="false" outlineLevel="0" collapsed="false">
      <c r="A543" s="57" t="n">
        <v>46244</v>
      </c>
      <c r="B543" s="0" t="s">
        <v>632</v>
      </c>
      <c r="C543" s="0" t="s">
        <v>13</v>
      </c>
      <c r="D543" s="0" t="s">
        <v>68</v>
      </c>
      <c r="E543" s="58" t="str">
        <f aca="false">VLOOKUP(D543,Models!$A$2:$B$13,2,0)</f>
        <v>50-inch 4K TV</v>
      </c>
      <c r="F543" s="0" t="s">
        <v>69</v>
      </c>
      <c r="G543" s="58" t="str">
        <f aca="false">VLOOKUP(F543,Countries!$A$2:$B$11,2,0)</f>
        <v>Egypt</v>
      </c>
      <c r="H543" s="13" t="n">
        <v>14</v>
      </c>
      <c r="I543" s="13" t="n">
        <v>145600</v>
      </c>
      <c r="J543" s="0" t="s">
        <v>14</v>
      </c>
      <c r="K543" s="0" t="s">
        <v>577</v>
      </c>
    </row>
    <row r="544" customFormat="false" ht="12.8" hidden="false" customHeight="false" outlineLevel="0" collapsed="false">
      <c r="A544" s="57" t="n">
        <v>46244</v>
      </c>
      <c r="B544" s="0" t="s">
        <v>633</v>
      </c>
      <c r="C544" s="0" t="s">
        <v>15</v>
      </c>
      <c r="D544" s="0" t="s">
        <v>81</v>
      </c>
      <c r="E544" s="58" t="str">
        <f aca="false">VLOOKUP(D544,Models!$A$2:$B$13,2,0)</f>
        <v>43-inch Smart TV</v>
      </c>
      <c r="F544" s="0" t="s">
        <v>69</v>
      </c>
      <c r="G544" s="58" t="str">
        <f aca="false">VLOOKUP(F544,Countries!$A$2:$B$11,2,0)</f>
        <v>Egypt</v>
      </c>
      <c r="H544" s="13" t="n">
        <v>15</v>
      </c>
      <c r="I544" s="13" t="n">
        <v>117000</v>
      </c>
      <c r="J544" s="0" t="s">
        <v>14</v>
      </c>
      <c r="K544" s="0" t="s">
        <v>577</v>
      </c>
    </row>
    <row r="545" customFormat="false" ht="12.8" hidden="false" customHeight="false" outlineLevel="0" collapsed="false">
      <c r="A545" s="57" t="n">
        <v>46244</v>
      </c>
      <c r="B545" s="0" t="s">
        <v>634</v>
      </c>
      <c r="C545" s="0" t="s">
        <v>15</v>
      </c>
      <c r="D545" s="0" t="s">
        <v>109</v>
      </c>
      <c r="E545" s="58" t="str">
        <f aca="false">VLOOKUP(D545,Models!$A$2:$B$13,2,0)</f>
        <v>55-inch QLED TV</v>
      </c>
      <c r="F545" s="0" t="s">
        <v>65</v>
      </c>
      <c r="G545" s="58" t="str">
        <f aca="false">VLOOKUP(F545,Countries!$A$2:$B$11,2,0)</f>
        <v>Jordan</v>
      </c>
      <c r="H545" s="13" t="n">
        <v>29</v>
      </c>
      <c r="I545" s="13" t="n">
        <v>452400</v>
      </c>
      <c r="J545" s="0" t="s">
        <v>14</v>
      </c>
      <c r="K545" s="0" t="s">
        <v>577</v>
      </c>
    </row>
    <row r="546" customFormat="false" ht="12.8" hidden="false" customHeight="false" outlineLevel="0" collapsed="false">
      <c r="A546" s="57" t="n">
        <v>46244</v>
      </c>
      <c r="B546" s="0" t="s">
        <v>635</v>
      </c>
      <c r="C546" s="0" t="s">
        <v>15</v>
      </c>
      <c r="D546" s="0" t="s">
        <v>71</v>
      </c>
      <c r="E546" s="58" t="str">
        <f aca="false">VLOOKUP(D546,Models!$A$2:$B$13,2,0)</f>
        <v>43-inch Full HD TV</v>
      </c>
      <c r="F546" s="0" t="s">
        <v>69</v>
      </c>
      <c r="G546" s="58" t="str">
        <f aca="false">VLOOKUP(F546,Countries!$A$2:$B$11,2,0)</f>
        <v>Egypt</v>
      </c>
      <c r="H546" s="13" t="n">
        <v>11</v>
      </c>
      <c r="I546" s="13" t="n">
        <v>75900</v>
      </c>
      <c r="J546" s="0" t="s">
        <v>14</v>
      </c>
      <c r="K546" s="0" t="s">
        <v>577</v>
      </c>
    </row>
    <row r="547" customFormat="false" ht="12.8" hidden="false" customHeight="false" outlineLevel="0" collapsed="false">
      <c r="A547" s="57" t="n">
        <v>46244</v>
      </c>
      <c r="B547" s="0" t="s">
        <v>636</v>
      </c>
      <c r="C547" s="0" t="s">
        <v>15</v>
      </c>
      <c r="D547" s="0" t="s">
        <v>74</v>
      </c>
      <c r="E547" s="58" t="str">
        <f aca="false">VLOOKUP(D547,Models!$A$2:$B$13,2,0)</f>
        <v>40-inch Full HD TV</v>
      </c>
      <c r="F547" s="0" t="s">
        <v>69</v>
      </c>
      <c r="G547" s="58" t="str">
        <f aca="false">VLOOKUP(F547,Countries!$A$2:$B$11,2,0)</f>
        <v>Egypt</v>
      </c>
      <c r="H547" s="13" t="n">
        <v>6</v>
      </c>
      <c r="I547" s="13" t="n">
        <v>37200</v>
      </c>
      <c r="J547" s="0" t="s">
        <v>14</v>
      </c>
      <c r="K547" s="0" t="s">
        <v>577</v>
      </c>
    </row>
    <row r="548" customFormat="false" ht="12.8" hidden="false" customHeight="false" outlineLevel="0" collapsed="false">
      <c r="A548" s="57" t="n">
        <v>46244</v>
      </c>
      <c r="B548" s="0" t="s">
        <v>637</v>
      </c>
      <c r="C548" s="0" t="s">
        <v>17</v>
      </c>
      <c r="D548" s="0" t="s">
        <v>74</v>
      </c>
      <c r="E548" s="58" t="str">
        <f aca="false">VLOOKUP(D548,Models!$A$2:$B$13,2,0)</f>
        <v>40-inch Full HD TV</v>
      </c>
      <c r="F548" s="0" t="s">
        <v>69</v>
      </c>
      <c r="G548" s="58" t="str">
        <f aca="false">VLOOKUP(F548,Countries!$A$2:$B$11,2,0)</f>
        <v>Egypt</v>
      </c>
      <c r="H548" s="13" t="n">
        <v>31</v>
      </c>
      <c r="I548" s="13" t="n">
        <v>192200</v>
      </c>
      <c r="J548" s="0" t="s">
        <v>14</v>
      </c>
      <c r="K548" s="0" t="s">
        <v>577</v>
      </c>
    </row>
    <row r="549" customFormat="false" ht="12.8" hidden="false" customHeight="false" outlineLevel="0" collapsed="false">
      <c r="A549" s="57" t="n">
        <v>46244</v>
      </c>
      <c r="B549" s="0" t="s">
        <v>638</v>
      </c>
      <c r="C549" s="0" t="s">
        <v>17</v>
      </c>
      <c r="D549" s="0" t="s">
        <v>95</v>
      </c>
      <c r="E549" s="58" t="str">
        <f aca="false">VLOOKUP(D549,Models!$A$2:$B$13,2,0)</f>
        <v>32-inch HD TV</v>
      </c>
      <c r="F549" s="0" t="s">
        <v>69</v>
      </c>
      <c r="G549" s="58" t="str">
        <f aca="false">VLOOKUP(F549,Countries!$A$2:$B$11,2,0)</f>
        <v>Egypt</v>
      </c>
      <c r="H549" s="13" t="n">
        <v>43</v>
      </c>
      <c r="I549" s="13" t="n">
        <v>167700</v>
      </c>
      <c r="J549" s="0" t="s">
        <v>14</v>
      </c>
      <c r="K549" s="0" t="s">
        <v>577</v>
      </c>
    </row>
    <row r="550" customFormat="false" ht="12.8" hidden="false" customHeight="false" outlineLevel="0" collapsed="false">
      <c r="A550" s="57" t="n">
        <v>46244</v>
      </c>
      <c r="B550" s="0" t="s">
        <v>639</v>
      </c>
      <c r="C550" s="0" t="s">
        <v>17</v>
      </c>
      <c r="D550" s="0" t="s">
        <v>109</v>
      </c>
      <c r="E550" s="58" t="str">
        <f aca="false">VLOOKUP(D550,Models!$A$2:$B$13,2,0)</f>
        <v>55-inch QLED TV</v>
      </c>
      <c r="F550" s="0" t="s">
        <v>103</v>
      </c>
      <c r="G550" s="58" t="str">
        <f aca="false">VLOOKUP(F550,Countries!$A$2:$B$11,2,0)</f>
        <v>Morocco</v>
      </c>
      <c r="H550" s="13" t="n">
        <v>28</v>
      </c>
      <c r="I550" s="13" t="n">
        <v>436800</v>
      </c>
      <c r="J550" s="0" t="s">
        <v>14</v>
      </c>
      <c r="K550" s="0" t="s">
        <v>577</v>
      </c>
    </row>
    <row r="551" customFormat="false" ht="12.8" hidden="false" customHeight="false" outlineLevel="0" collapsed="false">
      <c r="A551" s="57" t="n">
        <v>46244</v>
      </c>
      <c r="B551" s="0" t="s">
        <v>640</v>
      </c>
      <c r="C551" s="0" t="s">
        <v>17</v>
      </c>
      <c r="D551" s="0" t="s">
        <v>77</v>
      </c>
      <c r="E551" s="58" t="str">
        <f aca="false">VLOOKUP(D551,Models!$A$2:$B$13,2,0)</f>
        <v>65-inch QLED TV</v>
      </c>
      <c r="F551" s="0" t="s">
        <v>65</v>
      </c>
      <c r="G551" s="58" t="str">
        <f aca="false">VLOOKUP(F551,Countries!$A$2:$B$11,2,0)</f>
        <v>Jordan</v>
      </c>
      <c r="H551" s="13" t="n">
        <v>12</v>
      </c>
      <c r="I551" s="13" t="n">
        <v>294000</v>
      </c>
      <c r="J551" s="0" t="s">
        <v>14</v>
      </c>
      <c r="K551" s="0" t="s">
        <v>577</v>
      </c>
    </row>
    <row r="552" customFormat="false" ht="12.8" hidden="false" customHeight="false" outlineLevel="0" collapsed="false">
      <c r="A552" s="57" t="n">
        <v>46244</v>
      </c>
      <c r="B552" s="0" t="s">
        <v>641</v>
      </c>
      <c r="C552" s="0" t="s">
        <v>19</v>
      </c>
      <c r="D552" s="0" t="s">
        <v>85</v>
      </c>
      <c r="E552" s="58" t="str">
        <f aca="false">VLOOKUP(D552,Models!$A$2:$B$13,2,0)</f>
        <v>75-inch 4K TV</v>
      </c>
      <c r="F552" s="0" t="s">
        <v>69</v>
      </c>
      <c r="G552" s="58" t="str">
        <f aca="false">VLOOKUP(F552,Countries!$A$2:$B$11,2,0)</f>
        <v>Egypt</v>
      </c>
      <c r="H552" s="13" t="n">
        <v>15</v>
      </c>
      <c r="I552" s="13" t="n">
        <v>468000</v>
      </c>
      <c r="J552" s="0" t="s">
        <v>14</v>
      </c>
      <c r="K552" s="0" t="s">
        <v>577</v>
      </c>
    </row>
    <row r="553" customFormat="false" ht="12.8" hidden="false" customHeight="false" outlineLevel="0" collapsed="false">
      <c r="A553" s="57" t="n">
        <v>46244</v>
      </c>
      <c r="B553" s="0" t="s">
        <v>642</v>
      </c>
      <c r="C553" s="0" t="s">
        <v>19</v>
      </c>
      <c r="D553" s="0" t="s">
        <v>85</v>
      </c>
      <c r="E553" s="58" t="str">
        <f aca="false">VLOOKUP(D553,Models!$A$2:$B$13,2,0)</f>
        <v>75-inch 4K TV</v>
      </c>
      <c r="F553" s="0" t="s">
        <v>75</v>
      </c>
      <c r="G553" s="58" t="str">
        <f aca="false">VLOOKUP(F553,Countries!$A$2:$B$11,2,0)</f>
        <v>Nigeria</v>
      </c>
      <c r="H553" s="13" t="n">
        <v>13</v>
      </c>
      <c r="I553" s="13" t="n">
        <v>405600</v>
      </c>
      <c r="J553" s="0" t="s">
        <v>14</v>
      </c>
      <c r="K553" s="0" t="s">
        <v>577</v>
      </c>
    </row>
    <row r="554" customFormat="false" ht="12.8" hidden="false" customHeight="false" outlineLevel="0" collapsed="false">
      <c r="A554" s="57" t="n">
        <v>46244</v>
      </c>
      <c r="B554" s="0" t="s">
        <v>643</v>
      </c>
      <c r="C554" s="0" t="s">
        <v>20</v>
      </c>
      <c r="D554" s="0" t="s">
        <v>71</v>
      </c>
      <c r="E554" s="58" t="str">
        <f aca="false">VLOOKUP(D554,Models!$A$2:$B$13,2,0)</f>
        <v>43-inch Full HD TV</v>
      </c>
      <c r="F554" s="0" t="s">
        <v>69</v>
      </c>
      <c r="G554" s="58" t="str">
        <f aca="false">VLOOKUP(F554,Countries!$A$2:$B$11,2,0)</f>
        <v>Egypt</v>
      </c>
      <c r="H554" s="13" t="n">
        <v>39</v>
      </c>
      <c r="I554" s="13" t="n">
        <v>269100</v>
      </c>
      <c r="J554" s="0" t="s">
        <v>14</v>
      </c>
      <c r="K554" s="0" t="s">
        <v>577</v>
      </c>
    </row>
    <row r="555" customFormat="false" ht="12.8" hidden="false" customHeight="false" outlineLevel="0" collapsed="false">
      <c r="A555" s="57" t="n">
        <v>46244</v>
      </c>
      <c r="B555" s="0" t="s">
        <v>644</v>
      </c>
      <c r="C555" s="0" t="s">
        <v>20</v>
      </c>
      <c r="D555" s="0" t="s">
        <v>90</v>
      </c>
      <c r="E555" s="58" t="str">
        <f aca="false">VLOOKUP(D555,Models!$A$2:$B$13,2,0)</f>
        <v>55-inch 4K TV</v>
      </c>
      <c r="F555" s="0" t="s">
        <v>177</v>
      </c>
      <c r="G555" s="58" t="str">
        <f aca="false">VLOOKUP(F555,Countries!$A$2:$B$11,2,0)</f>
        <v>Saudi Arabia</v>
      </c>
      <c r="H555" s="13" t="n">
        <v>29</v>
      </c>
      <c r="I555" s="13" t="n">
        <v>356700</v>
      </c>
      <c r="J555" s="0" t="s">
        <v>14</v>
      </c>
      <c r="K555" s="0" t="s">
        <v>577</v>
      </c>
    </row>
    <row r="556" customFormat="false" ht="12.8" hidden="false" customHeight="false" outlineLevel="0" collapsed="false">
      <c r="A556" s="57" t="n">
        <v>46244</v>
      </c>
      <c r="B556" s="0" t="s">
        <v>645</v>
      </c>
      <c r="C556" s="0" t="s">
        <v>21</v>
      </c>
      <c r="D556" s="0" t="s">
        <v>64</v>
      </c>
      <c r="E556" s="58" t="str">
        <f aca="false">VLOOKUP(D556,Models!$A$2:$B$13,2,0)</f>
        <v>32-inch Smart TV</v>
      </c>
      <c r="F556" s="0" t="s">
        <v>177</v>
      </c>
      <c r="G556" s="58" t="str">
        <f aca="false">VLOOKUP(F556,Countries!$A$2:$B$11,2,0)</f>
        <v>Saudi Arabia</v>
      </c>
      <c r="H556" s="13" t="n">
        <v>31</v>
      </c>
      <c r="I556" s="13" t="n">
        <v>142600</v>
      </c>
      <c r="J556" s="0" t="s">
        <v>14</v>
      </c>
      <c r="K556" s="0" t="s">
        <v>577</v>
      </c>
    </row>
    <row r="557" customFormat="false" ht="12.8" hidden="false" customHeight="false" outlineLevel="0" collapsed="false">
      <c r="A557" s="57" t="n">
        <v>46244</v>
      </c>
      <c r="B557" s="0" t="s">
        <v>646</v>
      </c>
      <c r="C557" s="0" t="s">
        <v>21</v>
      </c>
      <c r="D557" s="0" t="s">
        <v>109</v>
      </c>
      <c r="E557" s="58" t="str">
        <f aca="false">VLOOKUP(D557,Models!$A$2:$B$13,2,0)</f>
        <v>55-inch QLED TV</v>
      </c>
      <c r="F557" s="0" t="s">
        <v>69</v>
      </c>
      <c r="G557" s="58" t="str">
        <f aca="false">VLOOKUP(F557,Countries!$A$2:$B$11,2,0)</f>
        <v>Egypt</v>
      </c>
      <c r="H557" s="13" t="n">
        <v>34</v>
      </c>
      <c r="I557" s="13" t="n">
        <v>530400</v>
      </c>
      <c r="J557" s="0" t="s">
        <v>14</v>
      </c>
      <c r="K557" s="0" t="s">
        <v>577</v>
      </c>
    </row>
    <row r="558" customFormat="false" ht="12.8" hidden="false" customHeight="false" outlineLevel="0" collapsed="false">
      <c r="A558" s="57" t="n">
        <v>46245</v>
      </c>
      <c r="B558" s="0" t="s">
        <v>647</v>
      </c>
      <c r="C558" s="0" t="s">
        <v>13</v>
      </c>
      <c r="D558" s="0" t="s">
        <v>90</v>
      </c>
      <c r="E558" s="58" t="str">
        <f aca="false">VLOOKUP(D558,Models!$A$2:$B$13,2,0)</f>
        <v>55-inch 4K TV</v>
      </c>
      <c r="F558" s="0" t="s">
        <v>79</v>
      </c>
      <c r="G558" s="58" t="str">
        <f aca="false">VLOOKUP(F558,Countries!$A$2:$B$11,2,0)</f>
        <v>Iraq</v>
      </c>
      <c r="H558" s="13" t="n">
        <v>17</v>
      </c>
      <c r="I558" s="13" t="n">
        <v>209100</v>
      </c>
      <c r="J558" s="0" t="s">
        <v>14</v>
      </c>
      <c r="K558" s="0" t="s">
        <v>577</v>
      </c>
    </row>
    <row r="559" customFormat="false" ht="12.8" hidden="false" customHeight="false" outlineLevel="0" collapsed="false">
      <c r="A559" s="57" t="n">
        <v>46245</v>
      </c>
      <c r="B559" s="0" t="s">
        <v>648</v>
      </c>
      <c r="C559" s="0" t="s">
        <v>13</v>
      </c>
      <c r="D559" s="0" t="s">
        <v>81</v>
      </c>
      <c r="E559" s="58" t="str">
        <f aca="false">VLOOKUP(D559,Models!$A$2:$B$13,2,0)</f>
        <v>43-inch Smart TV</v>
      </c>
      <c r="F559" s="0" t="s">
        <v>69</v>
      </c>
      <c r="G559" s="58" t="str">
        <f aca="false">VLOOKUP(F559,Countries!$A$2:$B$11,2,0)</f>
        <v>Egypt</v>
      </c>
      <c r="H559" s="13" t="n">
        <v>13</v>
      </c>
      <c r="I559" s="13" t="n">
        <v>101400</v>
      </c>
      <c r="J559" s="0" t="s">
        <v>14</v>
      </c>
      <c r="K559" s="0" t="s">
        <v>577</v>
      </c>
    </row>
    <row r="560" customFormat="false" ht="12.8" hidden="false" customHeight="false" outlineLevel="0" collapsed="false">
      <c r="A560" s="57" t="n">
        <v>46245</v>
      </c>
      <c r="B560" s="0" t="s">
        <v>649</v>
      </c>
      <c r="C560" s="0" t="s">
        <v>13</v>
      </c>
      <c r="D560" s="0" t="s">
        <v>81</v>
      </c>
      <c r="E560" s="58" t="str">
        <f aca="false">VLOOKUP(D560,Models!$A$2:$B$13,2,0)</f>
        <v>43-inch Smart TV</v>
      </c>
      <c r="F560" s="0" t="s">
        <v>177</v>
      </c>
      <c r="G560" s="58" t="str">
        <f aca="false">VLOOKUP(F560,Countries!$A$2:$B$11,2,0)</f>
        <v>Saudi Arabia</v>
      </c>
      <c r="H560" s="13" t="n">
        <v>43</v>
      </c>
      <c r="I560" s="13" t="n">
        <v>335400</v>
      </c>
      <c r="J560" s="0" t="s">
        <v>14</v>
      </c>
      <c r="K560" s="0" t="s">
        <v>577</v>
      </c>
    </row>
    <row r="561" customFormat="false" ht="12.8" hidden="false" customHeight="false" outlineLevel="0" collapsed="false">
      <c r="A561" s="57" t="n">
        <v>46245</v>
      </c>
      <c r="B561" s="0" t="s">
        <v>650</v>
      </c>
      <c r="C561" s="0" t="s">
        <v>13</v>
      </c>
      <c r="D561" s="0" t="s">
        <v>81</v>
      </c>
      <c r="E561" s="58" t="str">
        <f aca="false">VLOOKUP(D561,Models!$A$2:$B$13,2,0)</f>
        <v>43-inch Smart TV</v>
      </c>
      <c r="F561" s="0" t="s">
        <v>69</v>
      </c>
      <c r="G561" s="58" t="str">
        <f aca="false">VLOOKUP(F561,Countries!$A$2:$B$11,2,0)</f>
        <v>Egypt</v>
      </c>
      <c r="H561" s="13" t="n">
        <v>36</v>
      </c>
      <c r="I561" s="13" t="n">
        <v>280800</v>
      </c>
      <c r="J561" s="0" t="s">
        <v>14</v>
      </c>
      <c r="K561" s="0" t="s">
        <v>577</v>
      </c>
    </row>
    <row r="562" customFormat="false" ht="12.8" hidden="false" customHeight="false" outlineLevel="0" collapsed="false">
      <c r="A562" s="57" t="n">
        <v>46245</v>
      </c>
      <c r="B562" s="0" t="s">
        <v>651</v>
      </c>
      <c r="C562" s="0" t="s">
        <v>13</v>
      </c>
      <c r="D562" s="0" t="s">
        <v>64</v>
      </c>
      <c r="E562" s="58" t="str">
        <f aca="false">VLOOKUP(D562,Models!$A$2:$B$13,2,0)</f>
        <v>32-inch Smart TV</v>
      </c>
      <c r="F562" s="0" t="s">
        <v>72</v>
      </c>
      <c r="G562" s="58" t="str">
        <f aca="false">VLOOKUP(F562,Countries!$A$2:$B$11,2,0)</f>
        <v>Kenya</v>
      </c>
      <c r="H562" s="13" t="n">
        <v>47</v>
      </c>
      <c r="I562" s="13" t="n">
        <v>216200</v>
      </c>
      <c r="J562" s="0" t="s">
        <v>14</v>
      </c>
      <c r="K562" s="0" t="s">
        <v>577</v>
      </c>
    </row>
    <row r="563" customFormat="false" ht="12.8" hidden="false" customHeight="false" outlineLevel="0" collapsed="false">
      <c r="A563" s="57" t="n">
        <v>46245</v>
      </c>
      <c r="B563" s="0" t="s">
        <v>652</v>
      </c>
      <c r="C563" s="0" t="s">
        <v>13</v>
      </c>
      <c r="D563" s="0" t="s">
        <v>64</v>
      </c>
      <c r="E563" s="58" t="str">
        <f aca="false">VLOOKUP(D563,Models!$A$2:$B$13,2,0)</f>
        <v>32-inch Smart TV</v>
      </c>
      <c r="F563" s="0" t="s">
        <v>69</v>
      </c>
      <c r="G563" s="58" t="str">
        <f aca="false">VLOOKUP(F563,Countries!$A$2:$B$11,2,0)</f>
        <v>Egypt</v>
      </c>
      <c r="H563" s="13" t="n">
        <v>13</v>
      </c>
      <c r="I563" s="13" t="n">
        <v>59800</v>
      </c>
      <c r="J563" s="0" t="s">
        <v>14</v>
      </c>
      <c r="K563" s="0" t="s">
        <v>577</v>
      </c>
    </row>
    <row r="564" customFormat="false" ht="12.8" hidden="false" customHeight="false" outlineLevel="0" collapsed="false">
      <c r="A564" s="57" t="n">
        <v>46245</v>
      </c>
      <c r="B564" s="0" t="s">
        <v>653</v>
      </c>
      <c r="C564" s="0" t="s">
        <v>15</v>
      </c>
      <c r="D564" s="0" t="s">
        <v>85</v>
      </c>
      <c r="E564" s="58" t="str">
        <f aca="false">VLOOKUP(D564,Models!$A$2:$B$13,2,0)</f>
        <v>75-inch 4K TV</v>
      </c>
      <c r="F564" s="0" t="s">
        <v>103</v>
      </c>
      <c r="G564" s="58" t="str">
        <f aca="false">VLOOKUP(F564,Countries!$A$2:$B$11,2,0)</f>
        <v>Morocco</v>
      </c>
      <c r="H564" s="13" t="n">
        <v>7</v>
      </c>
      <c r="I564" s="13" t="n">
        <v>218400</v>
      </c>
      <c r="J564" s="0" t="s">
        <v>14</v>
      </c>
      <c r="K564" s="0" t="s">
        <v>577</v>
      </c>
    </row>
    <row r="565" customFormat="false" ht="12.8" hidden="false" customHeight="false" outlineLevel="0" collapsed="false">
      <c r="A565" s="57" t="n">
        <v>46245</v>
      </c>
      <c r="B565" s="0" t="s">
        <v>654</v>
      </c>
      <c r="C565" s="0" t="s">
        <v>15</v>
      </c>
      <c r="D565" s="0" t="s">
        <v>90</v>
      </c>
      <c r="E565" s="58" t="str">
        <f aca="false">VLOOKUP(D565,Models!$A$2:$B$13,2,0)</f>
        <v>55-inch 4K TV</v>
      </c>
      <c r="F565" s="0" t="s">
        <v>75</v>
      </c>
      <c r="G565" s="58" t="str">
        <f aca="false">VLOOKUP(F565,Countries!$A$2:$B$11,2,0)</f>
        <v>Nigeria</v>
      </c>
      <c r="H565" s="13" t="n">
        <v>21</v>
      </c>
      <c r="I565" s="13" t="n">
        <v>258300</v>
      </c>
      <c r="J565" s="0" t="s">
        <v>14</v>
      </c>
      <c r="K565" s="0" t="s">
        <v>577</v>
      </c>
    </row>
    <row r="566" customFormat="false" ht="12.8" hidden="false" customHeight="false" outlineLevel="0" collapsed="false">
      <c r="A566" s="57" t="n">
        <v>46245</v>
      </c>
      <c r="B566" s="0" t="s">
        <v>655</v>
      </c>
      <c r="C566" s="0" t="s">
        <v>15</v>
      </c>
      <c r="D566" s="0" t="s">
        <v>109</v>
      </c>
      <c r="E566" s="58" t="str">
        <f aca="false">VLOOKUP(D566,Models!$A$2:$B$13,2,0)</f>
        <v>55-inch QLED TV</v>
      </c>
      <c r="F566" s="0" t="s">
        <v>65</v>
      </c>
      <c r="G566" s="58" t="str">
        <f aca="false">VLOOKUP(F566,Countries!$A$2:$B$11,2,0)</f>
        <v>Jordan</v>
      </c>
      <c r="H566" s="13" t="n">
        <v>22</v>
      </c>
      <c r="I566" s="13" t="n">
        <v>343200</v>
      </c>
      <c r="J566" s="0" t="s">
        <v>14</v>
      </c>
      <c r="K566" s="0" t="s">
        <v>577</v>
      </c>
    </row>
    <row r="567" customFormat="false" ht="12.8" hidden="false" customHeight="false" outlineLevel="0" collapsed="false">
      <c r="A567" s="57" t="n">
        <v>46245</v>
      </c>
      <c r="B567" s="0" t="s">
        <v>656</v>
      </c>
      <c r="C567" s="0" t="s">
        <v>15</v>
      </c>
      <c r="D567" s="0" t="s">
        <v>109</v>
      </c>
      <c r="E567" s="58" t="str">
        <f aca="false">VLOOKUP(D567,Models!$A$2:$B$13,2,0)</f>
        <v>55-inch QLED TV</v>
      </c>
      <c r="F567" s="0" t="s">
        <v>69</v>
      </c>
      <c r="G567" s="58" t="str">
        <f aca="false">VLOOKUP(F567,Countries!$A$2:$B$11,2,0)</f>
        <v>Egypt</v>
      </c>
      <c r="H567" s="13" t="n">
        <v>31</v>
      </c>
      <c r="I567" s="13" t="n">
        <v>483600</v>
      </c>
      <c r="J567" s="0" t="s">
        <v>14</v>
      </c>
      <c r="K567" s="0" t="s">
        <v>577</v>
      </c>
    </row>
    <row r="568" customFormat="false" ht="12.8" hidden="false" customHeight="false" outlineLevel="0" collapsed="false">
      <c r="A568" s="57" t="n">
        <v>46245</v>
      </c>
      <c r="B568" s="0" t="s">
        <v>657</v>
      </c>
      <c r="C568" s="0" t="s">
        <v>15</v>
      </c>
      <c r="D568" s="0" t="s">
        <v>71</v>
      </c>
      <c r="E568" s="58" t="str">
        <f aca="false">VLOOKUP(D568,Models!$A$2:$B$13,2,0)</f>
        <v>43-inch Full HD TV</v>
      </c>
      <c r="F568" s="0" t="s">
        <v>69</v>
      </c>
      <c r="G568" s="58" t="str">
        <f aca="false">VLOOKUP(F568,Countries!$A$2:$B$11,2,0)</f>
        <v>Egypt</v>
      </c>
      <c r="H568" s="13" t="n">
        <v>12</v>
      </c>
      <c r="I568" s="13" t="n">
        <v>82800</v>
      </c>
      <c r="J568" s="0" t="s">
        <v>14</v>
      </c>
      <c r="K568" s="0" t="s">
        <v>577</v>
      </c>
    </row>
    <row r="569" customFormat="false" ht="12.8" hidden="false" customHeight="false" outlineLevel="0" collapsed="false">
      <c r="A569" s="57" t="n">
        <v>46245</v>
      </c>
      <c r="B569" s="0" t="s">
        <v>658</v>
      </c>
      <c r="C569" s="0" t="s">
        <v>17</v>
      </c>
      <c r="D569" s="0" t="s">
        <v>64</v>
      </c>
      <c r="E569" s="58" t="str">
        <f aca="false">VLOOKUP(D569,Models!$A$2:$B$13,2,0)</f>
        <v>32-inch Smart TV</v>
      </c>
      <c r="F569" s="0" t="s">
        <v>69</v>
      </c>
      <c r="G569" s="58" t="str">
        <f aca="false">VLOOKUP(F569,Countries!$A$2:$B$11,2,0)</f>
        <v>Egypt</v>
      </c>
      <c r="H569" s="13" t="n">
        <v>30</v>
      </c>
      <c r="I569" s="13" t="n">
        <v>138000</v>
      </c>
      <c r="J569" s="0" t="s">
        <v>14</v>
      </c>
      <c r="K569" s="0" t="s">
        <v>577</v>
      </c>
    </row>
    <row r="570" customFormat="false" ht="12.8" hidden="false" customHeight="false" outlineLevel="0" collapsed="false">
      <c r="A570" s="57" t="n">
        <v>46245</v>
      </c>
      <c r="B570" s="0" t="s">
        <v>659</v>
      </c>
      <c r="C570" s="0" t="s">
        <v>17</v>
      </c>
      <c r="D570" s="0" t="s">
        <v>74</v>
      </c>
      <c r="E570" s="58" t="str">
        <f aca="false">VLOOKUP(D570,Models!$A$2:$B$13,2,0)</f>
        <v>40-inch Full HD TV</v>
      </c>
      <c r="F570" s="0" t="s">
        <v>69</v>
      </c>
      <c r="G570" s="58" t="str">
        <f aca="false">VLOOKUP(F570,Countries!$A$2:$B$11,2,0)</f>
        <v>Egypt</v>
      </c>
      <c r="H570" s="13" t="n">
        <v>37</v>
      </c>
      <c r="I570" s="13" t="n">
        <v>229400</v>
      </c>
      <c r="J570" s="0" t="s">
        <v>14</v>
      </c>
      <c r="K570" s="0" t="s">
        <v>577</v>
      </c>
    </row>
    <row r="571" customFormat="false" ht="12.8" hidden="false" customHeight="false" outlineLevel="0" collapsed="false">
      <c r="A571" s="57" t="n">
        <v>46245</v>
      </c>
      <c r="B571" s="0" t="s">
        <v>660</v>
      </c>
      <c r="C571" s="0" t="s">
        <v>17</v>
      </c>
      <c r="D571" s="0" t="s">
        <v>90</v>
      </c>
      <c r="E571" s="58" t="str">
        <f aca="false">VLOOKUP(D571,Models!$A$2:$B$13,2,0)</f>
        <v>55-inch 4K TV</v>
      </c>
      <c r="F571" s="0" t="s">
        <v>69</v>
      </c>
      <c r="G571" s="58" t="str">
        <f aca="false">VLOOKUP(F571,Countries!$A$2:$B$11,2,0)</f>
        <v>Egypt</v>
      </c>
      <c r="H571" s="13" t="n">
        <v>25</v>
      </c>
      <c r="I571" s="13" t="n">
        <v>307500</v>
      </c>
      <c r="J571" s="0" t="s">
        <v>14</v>
      </c>
      <c r="K571" s="0" t="s">
        <v>577</v>
      </c>
    </row>
    <row r="572" customFormat="false" ht="12.8" hidden="false" customHeight="false" outlineLevel="0" collapsed="false">
      <c r="A572" s="57" t="n">
        <v>46245</v>
      </c>
      <c r="B572" s="0" t="s">
        <v>661</v>
      </c>
      <c r="C572" s="0" t="s">
        <v>17</v>
      </c>
      <c r="D572" s="0" t="s">
        <v>74</v>
      </c>
      <c r="E572" s="58" t="str">
        <f aca="false">VLOOKUP(D572,Models!$A$2:$B$13,2,0)</f>
        <v>40-inch Full HD TV</v>
      </c>
      <c r="F572" s="0" t="s">
        <v>72</v>
      </c>
      <c r="G572" s="58" t="str">
        <f aca="false">VLOOKUP(F572,Countries!$A$2:$B$11,2,0)</f>
        <v>Kenya</v>
      </c>
      <c r="H572" s="13" t="n">
        <v>29</v>
      </c>
      <c r="I572" s="13" t="n">
        <v>179800</v>
      </c>
      <c r="J572" s="0" t="s">
        <v>14</v>
      </c>
      <c r="K572" s="0" t="s">
        <v>577</v>
      </c>
    </row>
    <row r="573" customFormat="false" ht="12.8" hidden="false" customHeight="false" outlineLevel="0" collapsed="false">
      <c r="A573" s="57" t="n">
        <v>46245</v>
      </c>
      <c r="B573" s="0" t="s">
        <v>662</v>
      </c>
      <c r="C573" s="0" t="s">
        <v>19</v>
      </c>
      <c r="D573" s="0" t="s">
        <v>71</v>
      </c>
      <c r="E573" s="58" t="str">
        <f aca="false">VLOOKUP(D573,Models!$A$2:$B$13,2,0)</f>
        <v>43-inch Full HD TV</v>
      </c>
      <c r="F573" s="0" t="s">
        <v>69</v>
      </c>
      <c r="G573" s="58" t="str">
        <f aca="false">VLOOKUP(F573,Countries!$A$2:$B$11,2,0)</f>
        <v>Egypt</v>
      </c>
      <c r="H573" s="13" t="n">
        <v>19</v>
      </c>
      <c r="I573" s="13" t="n">
        <v>131100</v>
      </c>
      <c r="J573" s="0" t="s">
        <v>14</v>
      </c>
      <c r="K573" s="0" t="s">
        <v>577</v>
      </c>
    </row>
    <row r="574" customFormat="false" ht="12.8" hidden="false" customHeight="false" outlineLevel="0" collapsed="false">
      <c r="A574" s="57" t="n">
        <v>46245</v>
      </c>
      <c r="B574" s="0" t="s">
        <v>663</v>
      </c>
      <c r="C574" s="0" t="s">
        <v>19</v>
      </c>
      <c r="D574" s="0" t="s">
        <v>64</v>
      </c>
      <c r="E574" s="58" t="str">
        <f aca="false">VLOOKUP(D574,Models!$A$2:$B$13,2,0)</f>
        <v>32-inch Smart TV</v>
      </c>
      <c r="F574" s="0" t="s">
        <v>177</v>
      </c>
      <c r="G574" s="58" t="str">
        <f aca="false">VLOOKUP(F574,Countries!$A$2:$B$11,2,0)</f>
        <v>Saudi Arabia</v>
      </c>
      <c r="H574" s="13" t="n">
        <v>16</v>
      </c>
      <c r="I574" s="13" t="n">
        <v>73600</v>
      </c>
      <c r="J574" s="0" t="s">
        <v>14</v>
      </c>
      <c r="K574" s="0" t="s">
        <v>577</v>
      </c>
    </row>
    <row r="575" customFormat="false" ht="12.8" hidden="false" customHeight="false" outlineLevel="0" collapsed="false">
      <c r="A575" s="57" t="n">
        <v>46245</v>
      </c>
      <c r="B575" s="0" t="s">
        <v>664</v>
      </c>
      <c r="C575" s="0" t="s">
        <v>20</v>
      </c>
      <c r="D575" s="0" t="s">
        <v>68</v>
      </c>
      <c r="E575" s="58" t="str">
        <f aca="false">VLOOKUP(D575,Models!$A$2:$B$13,2,0)</f>
        <v>50-inch 4K TV</v>
      </c>
      <c r="F575" s="0" t="s">
        <v>79</v>
      </c>
      <c r="G575" s="58" t="str">
        <f aca="false">VLOOKUP(F575,Countries!$A$2:$B$11,2,0)</f>
        <v>Iraq</v>
      </c>
      <c r="H575" s="13" t="n">
        <v>22</v>
      </c>
      <c r="I575" s="13" t="n">
        <v>228800</v>
      </c>
      <c r="J575" s="0" t="s">
        <v>14</v>
      </c>
      <c r="K575" s="0" t="s">
        <v>577</v>
      </c>
    </row>
    <row r="576" customFormat="false" ht="12.8" hidden="false" customHeight="false" outlineLevel="0" collapsed="false">
      <c r="A576" s="57" t="n">
        <v>46245</v>
      </c>
      <c r="B576" s="0" t="s">
        <v>665</v>
      </c>
      <c r="C576" s="0" t="s">
        <v>20</v>
      </c>
      <c r="D576" s="0" t="s">
        <v>92</v>
      </c>
      <c r="E576" s="58" t="str">
        <f aca="false">VLOOKUP(D576,Models!$A$2:$B$13,2,0)</f>
        <v>65-inch 4K TV</v>
      </c>
      <c r="F576" s="0" t="s">
        <v>69</v>
      </c>
      <c r="G576" s="58" t="str">
        <f aca="false">VLOOKUP(F576,Countries!$A$2:$B$11,2,0)</f>
        <v>Egypt</v>
      </c>
      <c r="H576" s="13" t="n">
        <v>20</v>
      </c>
      <c r="I576" s="13" t="n">
        <v>396000</v>
      </c>
      <c r="J576" s="0" t="s">
        <v>14</v>
      </c>
      <c r="K576" s="0" t="s">
        <v>577</v>
      </c>
    </row>
    <row r="577" customFormat="false" ht="12.8" hidden="false" customHeight="false" outlineLevel="0" collapsed="false">
      <c r="A577" s="57" t="n">
        <v>46245</v>
      </c>
      <c r="B577" s="0" t="s">
        <v>666</v>
      </c>
      <c r="C577" s="0" t="s">
        <v>20</v>
      </c>
      <c r="D577" s="0" t="s">
        <v>92</v>
      </c>
      <c r="E577" s="58" t="str">
        <f aca="false">VLOOKUP(D577,Models!$A$2:$B$13,2,0)</f>
        <v>65-inch 4K TV</v>
      </c>
      <c r="F577" s="0" t="s">
        <v>69</v>
      </c>
      <c r="G577" s="58" t="str">
        <f aca="false">VLOOKUP(F577,Countries!$A$2:$B$11,2,0)</f>
        <v>Egypt</v>
      </c>
      <c r="H577" s="13" t="n">
        <v>10</v>
      </c>
      <c r="I577" s="13" t="n">
        <v>198000</v>
      </c>
      <c r="J577" s="0" t="s">
        <v>14</v>
      </c>
      <c r="K577" s="0" t="s">
        <v>577</v>
      </c>
    </row>
    <row r="578" customFormat="false" ht="12.8" hidden="false" customHeight="false" outlineLevel="0" collapsed="false">
      <c r="A578" s="57" t="n">
        <v>46245</v>
      </c>
      <c r="B578" s="0" t="s">
        <v>667</v>
      </c>
      <c r="C578" s="0" t="s">
        <v>21</v>
      </c>
      <c r="D578" s="0" t="s">
        <v>95</v>
      </c>
      <c r="E578" s="58" t="str">
        <f aca="false">VLOOKUP(D578,Models!$A$2:$B$13,2,0)</f>
        <v>32-inch HD TV</v>
      </c>
      <c r="F578" s="0" t="s">
        <v>75</v>
      </c>
      <c r="G578" s="58" t="str">
        <f aca="false">VLOOKUP(F578,Countries!$A$2:$B$11,2,0)</f>
        <v>Nigeria</v>
      </c>
      <c r="H578" s="13" t="n">
        <v>6</v>
      </c>
      <c r="I578" s="13" t="n">
        <v>23400</v>
      </c>
      <c r="J578" s="0" t="s">
        <v>14</v>
      </c>
      <c r="K578" s="0" t="s">
        <v>577</v>
      </c>
    </row>
    <row r="579" customFormat="false" ht="12.8" hidden="false" customHeight="false" outlineLevel="0" collapsed="false">
      <c r="A579" s="57" t="n">
        <v>46245</v>
      </c>
      <c r="B579" s="0" t="s">
        <v>668</v>
      </c>
      <c r="C579" s="0" t="s">
        <v>21</v>
      </c>
      <c r="D579" s="0" t="s">
        <v>109</v>
      </c>
      <c r="E579" s="58" t="str">
        <f aca="false">VLOOKUP(D579,Models!$A$2:$B$13,2,0)</f>
        <v>55-inch QLED TV</v>
      </c>
      <c r="F579" s="0" t="s">
        <v>69</v>
      </c>
      <c r="G579" s="58" t="str">
        <f aca="false">VLOOKUP(F579,Countries!$A$2:$B$11,2,0)</f>
        <v>Egypt</v>
      </c>
      <c r="H579" s="13" t="n">
        <v>8</v>
      </c>
      <c r="I579" s="13" t="n">
        <v>124800</v>
      </c>
      <c r="J579" s="0" t="s">
        <v>14</v>
      </c>
      <c r="K579" s="0" t="s">
        <v>577</v>
      </c>
    </row>
    <row r="580" customFormat="false" ht="12.8" hidden="false" customHeight="false" outlineLevel="0" collapsed="false">
      <c r="A580" s="57" t="n">
        <v>46245</v>
      </c>
      <c r="B580" s="0" t="s">
        <v>669</v>
      </c>
      <c r="C580" s="0" t="s">
        <v>21</v>
      </c>
      <c r="D580" s="0" t="s">
        <v>95</v>
      </c>
      <c r="E580" s="58" t="str">
        <f aca="false">VLOOKUP(D580,Models!$A$2:$B$13,2,0)</f>
        <v>32-inch HD TV</v>
      </c>
      <c r="F580" s="0" t="s">
        <v>69</v>
      </c>
      <c r="G580" s="58" t="str">
        <f aca="false">VLOOKUP(F580,Countries!$A$2:$B$11,2,0)</f>
        <v>Egypt</v>
      </c>
      <c r="H580" s="13" t="n">
        <v>23</v>
      </c>
      <c r="I580" s="13" t="n">
        <v>89700</v>
      </c>
      <c r="J580" s="0" t="s">
        <v>14</v>
      </c>
      <c r="K580" s="0" t="s">
        <v>577</v>
      </c>
    </row>
    <row r="581" customFormat="false" ht="12.8" hidden="false" customHeight="false" outlineLevel="0" collapsed="false">
      <c r="A581" s="57" t="n">
        <v>46246</v>
      </c>
      <c r="B581" s="0" t="s">
        <v>670</v>
      </c>
      <c r="C581" s="0" t="s">
        <v>13</v>
      </c>
      <c r="D581" s="0" t="s">
        <v>64</v>
      </c>
      <c r="E581" s="58" t="str">
        <f aca="false">VLOOKUP(D581,Models!$A$2:$B$13,2,0)</f>
        <v>32-inch Smart TV</v>
      </c>
      <c r="F581" s="0" t="s">
        <v>177</v>
      </c>
      <c r="G581" s="58" t="str">
        <f aca="false">VLOOKUP(F581,Countries!$A$2:$B$11,2,0)</f>
        <v>Saudi Arabia</v>
      </c>
      <c r="H581" s="13" t="n">
        <v>45</v>
      </c>
      <c r="I581" s="13" t="n">
        <v>207000</v>
      </c>
      <c r="J581" s="0" t="s">
        <v>14</v>
      </c>
      <c r="K581" s="0" t="s">
        <v>671</v>
      </c>
    </row>
    <row r="582" customFormat="false" ht="12.8" hidden="false" customHeight="false" outlineLevel="0" collapsed="false">
      <c r="A582" s="57" t="n">
        <v>46246</v>
      </c>
      <c r="B582" s="0" t="s">
        <v>672</v>
      </c>
      <c r="C582" s="0" t="s">
        <v>15</v>
      </c>
      <c r="D582" s="0" t="s">
        <v>109</v>
      </c>
      <c r="E582" s="58" t="str">
        <f aca="false">VLOOKUP(D582,Models!$A$2:$B$13,2,0)</f>
        <v>55-inch QLED TV</v>
      </c>
      <c r="F582" s="0" t="s">
        <v>65</v>
      </c>
      <c r="G582" s="58" t="str">
        <f aca="false">VLOOKUP(F582,Countries!$A$2:$B$11,2,0)</f>
        <v>Jordan</v>
      </c>
      <c r="H582" s="13" t="n">
        <v>6</v>
      </c>
      <c r="I582" s="13" t="n">
        <v>93600</v>
      </c>
      <c r="J582" s="0" t="s">
        <v>14</v>
      </c>
      <c r="K582" s="0" t="s">
        <v>671</v>
      </c>
    </row>
    <row r="583" customFormat="false" ht="12.8" hidden="false" customHeight="false" outlineLevel="0" collapsed="false">
      <c r="A583" s="57" t="n">
        <v>46246</v>
      </c>
      <c r="B583" s="0" t="s">
        <v>673</v>
      </c>
      <c r="C583" s="0" t="s">
        <v>17</v>
      </c>
      <c r="D583" s="0" t="s">
        <v>88</v>
      </c>
      <c r="E583" s="58" t="str">
        <f aca="false">VLOOKUP(D583,Models!$A$2:$B$13,2,0)</f>
        <v>24-inch HD TV</v>
      </c>
      <c r="F583" s="0" t="s">
        <v>75</v>
      </c>
      <c r="G583" s="58" t="str">
        <f aca="false">VLOOKUP(F583,Countries!$A$2:$B$11,2,0)</f>
        <v>Nigeria</v>
      </c>
      <c r="H583" s="13" t="n">
        <v>16</v>
      </c>
      <c r="I583" s="13" t="n">
        <v>46400</v>
      </c>
      <c r="J583" s="0" t="s">
        <v>14</v>
      </c>
      <c r="K583" s="0" t="s">
        <v>671</v>
      </c>
    </row>
    <row r="584" customFormat="false" ht="12.8" hidden="false" customHeight="false" outlineLevel="0" collapsed="false">
      <c r="A584" s="57" t="n">
        <v>46246</v>
      </c>
      <c r="B584" s="0" t="s">
        <v>674</v>
      </c>
      <c r="C584" s="0" t="s">
        <v>17</v>
      </c>
      <c r="D584" s="0" t="s">
        <v>77</v>
      </c>
      <c r="E584" s="58" t="str">
        <f aca="false">VLOOKUP(D584,Models!$A$2:$B$13,2,0)</f>
        <v>65-inch QLED TV</v>
      </c>
      <c r="F584" s="0" t="s">
        <v>69</v>
      </c>
      <c r="G584" s="58" t="str">
        <f aca="false">VLOOKUP(F584,Countries!$A$2:$B$11,2,0)</f>
        <v>Egypt</v>
      </c>
      <c r="H584" s="13" t="n">
        <v>11</v>
      </c>
      <c r="I584" s="13" t="n">
        <v>269500</v>
      </c>
      <c r="J584" s="0" t="s">
        <v>14</v>
      </c>
      <c r="K584" s="0" t="s">
        <v>671</v>
      </c>
    </row>
    <row r="585" customFormat="false" ht="12.8" hidden="false" customHeight="false" outlineLevel="0" collapsed="false">
      <c r="A585" s="57" t="n">
        <v>46246</v>
      </c>
      <c r="B585" s="0" t="s">
        <v>675</v>
      </c>
      <c r="C585" s="0" t="s">
        <v>17</v>
      </c>
      <c r="D585" s="0" t="s">
        <v>74</v>
      </c>
      <c r="E585" s="58" t="str">
        <f aca="false">VLOOKUP(D585,Models!$A$2:$B$13,2,0)</f>
        <v>40-inch Full HD TV</v>
      </c>
      <c r="F585" s="0" t="s">
        <v>69</v>
      </c>
      <c r="G585" s="58" t="str">
        <f aca="false">VLOOKUP(F585,Countries!$A$2:$B$11,2,0)</f>
        <v>Egypt</v>
      </c>
      <c r="H585" s="13" t="n">
        <v>19</v>
      </c>
      <c r="I585" s="13" t="n">
        <v>117800</v>
      </c>
      <c r="J585" s="0" t="s">
        <v>14</v>
      </c>
      <c r="K585" s="0" t="s">
        <v>671</v>
      </c>
    </row>
    <row r="586" customFormat="false" ht="12.8" hidden="false" customHeight="false" outlineLevel="0" collapsed="false">
      <c r="A586" s="57" t="n">
        <v>46246</v>
      </c>
      <c r="B586" s="0" t="s">
        <v>676</v>
      </c>
      <c r="C586" s="0" t="s">
        <v>19</v>
      </c>
      <c r="D586" s="0" t="s">
        <v>92</v>
      </c>
      <c r="E586" s="58" t="str">
        <f aca="false">VLOOKUP(D586,Models!$A$2:$B$13,2,0)</f>
        <v>65-inch 4K TV</v>
      </c>
      <c r="F586" s="0" t="s">
        <v>69</v>
      </c>
      <c r="G586" s="58" t="str">
        <f aca="false">VLOOKUP(F586,Countries!$A$2:$B$11,2,0)</f>
        <v>Egypt</v>
      </c>
      <c r="H586" s="13" t="n">
        <v>10</v>
      </c>
      <c r="I586" s="13" t="n">
        <v>198000</v>
      </c>
      <c r="J586" s="0" t="s">
        <v>14</v>
      </c>
      <c r="K586" s="0" t="s">
        <v>671</v>
      </c>
    </row>
    <row r="587" customFormat="false" ht="12.8" hidden="false" customHeight="false" outlineLevel="0" collapsed="false">
      <c r="A587" s="57" t="n">
        <v>46246</v>
      </c>
      <c r="B587" s="0" t="s">
        <v>677</v>
      </c>
      <c r="C587" s="0" t="s">
        <v>20</v>
      </c>
      <c r="D587" s="0" t="s">
        <v>88</v>
      </c>
      <c r="E587" s="58" t="str">
        <f aca="false">VLOOKUP(D587,Models!$A$2:$B$13,2,0)</f>
        <v>24-inch HD TV</v>
      </c>
      <c r="F587" s="0" t="s">
        <v>72</v>
      </c>
      <c r="G587" s="58" t="str">
        <f aca="false">VLOOKUP(F587,Countries!$A$2:$B$11,2,0)</f>
        <v>Kenya</v>
      </c>
      <c r="H587" s="13" t="n">
        <v>20</v>
      </c>
      <c r="I587" s="13" t="n">
        <v>58000</v>
      </c>
      <c r="J587" s="0" t="s">
        <v>14</v>
      </c>
      <c r="K587" s="0" t="s">
        <v>671</v>
      </c>
    </row>
    <row r="588" customFormat="false" ht="12.8" hidden="false" customHeight="false" outlineLevel="0" collapsed="false">
      <c r="A588" s="57" t="n">
        <v>46246</v>
      </c>
      <c r="B588" s="0" t="s">
        <v>678</v>
      </c>
      <c r="C588" s="0" t="s">
        <v>20</v>
      </c>
      <c r="D588" s="0" t="s">
        <v>109</v>
      </c>
      <c r="E588" s="58" t="str">
        <f aca="false">VLOOKUP(D588,Models!$A$2:$B$13,2,0)</f>
        <v>55-inch QLED TV</v>
      </c>
      <c r="F588" s="0" t="s">
        <v>69</v>
      </c>
      <c r="G588" s="58" t="str">
        <f aca="false">VLOOKUP(F588,Countries!$A$2:$B$11,2,0)</f>
        <v>Egypt</v>
      </c>
      <c r="H588" s="13" t="n">
        <v>16</v>
      </c>
      <c r="I588" s="13" t="n">
        <v>249600</v>
      </c>
      <c r="J588" s="0" t="s">
        <v>14</v>
      </c>
      <c r="K588" s="0" t="s">
        <v>671</v>
      </c>
    </row>
    <row r="589" customFormat="false" ht="12.8" hidden="false" customHeight="false" outlineLevel="0" collapsed="false">
      <c r="A589" s="57" t="n">
        <v>46246</v>
      </c>
      <c r="B589" s="0" t="s">
        <v>679</v>
      </c>
      <c r="C589" s="0" t="s">
        <v>20</v>
      </c>
      <c r="D589" s="0" t="s">
        <v>68</v>
      </c>
      <c r="E589" s="58" t="str">
        <f aca="false">VLOOKUP(D589,Models!$A$2:$B$13,2,0)</f>
        <v>50-inch 4K TV</v>
      </c>
      <c r="F589" s="0" t="s">
        <v>177</v>
      </c>
      <c r="G589" s="58" t="str">
        <f aca="false">VLOOKUP(F589,Countries!$A$2:$B$11,2,0)</f>
        <v>Saudi Arabia</v>
      </c>
      <c r="H589" s="13" t="n">
        <v>7</v>
      </c>
      <c r="I589" s="13" t="n">
        <v>72800</v>
      </c>
      <c r="J589" s="0" t="s">
        <v>14</v>
      </c>
      <c r="K589" s="0" t="s">
        <v>671</v>
      </c>
    </row>
    <row r="590" customFormat="false" ht="12.8" hidden="false" customHeight="false" outlineLevel="0" collapsed="false">
      <c r="A590" s="57" t="n">
        <v>46246</v>
      </c>
      <c r="B590" s="0" t="s">
        <v>680</v>
      </c>
      <c r="C590" s="0" t="s">
        <v>21</v>
      </c>
      <c r="D590" s="0" t="s">
        <v>64</v>
      </c>
      <c r="E590" s="58" t="str">
        <f aca="false">VLOOKUP(D590,Models!$A$2:$B$13,2,0)</f>
        <v>32-inch Smart TV</v>
      </c>
      <c r="F590" s="0" t="s">
        <v>177</v>
      </c>
      <c r="G590" s="58" t="str">
        <f aca="false">VLOOKUP(F590,Countries!$A$2:$B$11,2,0)</f>
        <v>Saudi Arabia</v>
      </c>
      <c r="H590" s="13" t="n">
        <v>20</v>
      </c>
      <c r="I590" s="13" t="n">
        <v>92000</v>
      </c>
      <c r="J590" s="0" t="s">
        <v>14</v>
      </c>
      <c r="K590" s="0" t="s">
        <v>671</v>
      </c>
    </row>
    <row r="591" customFormat="false" ht="12.8" hidden="false" customHeight="false" outlineLevel="0" collapsed="false">
      <c r="A591" s="57" t="n">
        <v>46247</v>
      </c>
      <c r="B591" s="0" t="s">
        <v>681</v>
      </c>
      <c r="C591" s="0" t="s">
        <v>13</v>
      </c>
      <c r="D591" s="0" t="s">
        <v>95</v>
      </c>
      <c r="E591" s="58" t="str">
        <f aca="false">VLOOKUP(D591,Models!$A$2:$B$13,2,0)</f>
        <v>32-inch HD TV</v>
      </c>
      <c r="F591" s="0" t="s">
        <v>69</v>
      </c>
      <c r="G591" s="58" t="str">
        <f aca="false">VLOOKUP(F591,Countries!$A$2:$B$11,2,0)</f>
        <v>Egypt</v>
      </c>
      <c r="H591" s="13" t="n">
        <v>51</v>
      </c>
      <c r="I591" s="13" t="n">
        <v>198900</v>
      </c>
      <c r="J591" s="0" t="s">
        <v>14</v>
      </c>
      <c r="K591" s="0" t="s">
        <v>671</v>
      </c>
    </row>
    <row r="592" customFormat="false" ht="12.8" hidden="false" customHeight="false" outlineLevel="0" collapsed="false">
      <c r="A592" s="57" t="n">
        <v>46247</v>
      </c>
      <c r="B592" s="0" t="s">
        <v>682</v>
      </c>
      <c r="C592" s="0" t="s">
        <v>13</v>
      </c>
      <c r="D592" s="0" t="s">
        <v>77</v>
      </c>
      <c r="E592" s="58" t="str">
        <f aca="false">VLOOKUP(D592,Models!$A$2:$B$13,2,0)</f>
        <v>65-inch QLED TV</v>
      </c>
      <c r="F592" s="0" t="s">
        <v>75</v>
      </c>
      <c r="G592" s="58" t="str">
        <f aca="false">VLOOKUP(F592,Countries!$A$2:$B$11,2,0)</f>
        <v>Nigeria</v>
      </c>
      <c r="H592" s="13" t="n">
        <v>13</v>
      </c>
      <c r="I592" s="13" t="n">
        <v>318500</v>
      </c>
      <c r="J592" s="0" t="s">
        <v>14</v>
      </c>
      <c r="K592" s="0" t="s">
        <v>671</v>
      </c>
    </row>
    <row r="593" customFormat="false" ht="12.8" hidden="false" customHeight="false" outlineLevel="0" collapsed="false">
      <c r="A593" s="57" t="n">
        <v>46247</v>
      </c>
      <c r="B593" s="0" t="s">
        <v>683</v>
      </c>
      <c r="C593" s="0" t="s">
        <v>15</v>
      </c>
      <c r="D593" s="0" t="s">
        <v>74</v>
      </c>
      <c r="E593" s="58" t="str">
        <f aca="false">VLOOKUP(D593,Models!$A$2:$B$13,2,0)</f>
        <v>40-inch Full HD TV</v>
      </c>
      <c r="F593" s="0" t="s">
        <v>177</v>
      </c>
      <c r="G593" s="58" t="str">
        <f aca="false">VLOOKUP(F593,Countries!$A$2:$B$11,2,0)</f>
        <v>Saudi Arabia</v>
      </c>
      <c r="H593" s="13" t="n">
        <v>15</v>
      </c>
      <c r="I593" s="13" t="n">
        <v>93000</v>
      </c>
      <c r="J593" s="0" t="s">
        <v>14</v>
      </c>
      <c r="K593" s="0" t="s">
        <v>671</v>
      </c>
    </row>
    <row r="594" customFormat="false" ht="12.8" hidden="false" customHeight="false" outlineLevel="0" collapsed="false">
      <c r="A594" s="57" t="n">
        <v>46247</v>
      </c>
      <c r="B594" s="0" t="s">
        <v>684</v>
      </c>
      <c r="C594" s="0" t="s">
        <v>15</v>
      </c>
      <c r="D594" s="0" t="s">
        <v>64</v>
      </c>
      <c r="E594" s="58" t="str">
        <f aca="false">VLOOKUP(D594,Models!$A$2:$B$13,2,0)</f>
        <v>32-inch Smart TV</v>
      </c>
      <c r="F594" s="0" t="s">
        <v>69</v>
      </c>
      <c r="G594" s="58" t="str">
        <f aca="false">VLOOKUP(F594,Countries!$A$2:$B$11,2,0)</f>
        <v>Egypt</v>
      </c>
      <c r="H594" s="13" t="n">
        <v>42</v>
      </c>
      <c r="I594" s="13" t="n">
        <v>193200</v>
      </c>
      <c r="J594" s="0" t="s">
        <v>14</v>
      </c>
      <c r="K594" s="0" t="s">
        <v>671</v>
      </c>
    </row>
    <row r="595" customFormat="false" ht="12.8" hidden="false" customHeight="false" outlineLevel="0" collapsed="false">
      <c r="A595" s="57" t="n">
        <v>46247</v>
      </c>
      <c r="B595" s="0" t="s">
        <v>685</v>
      </c>
      <c r="C595" s="0" t="s">
        <v>15</v>
      </c>
      <c r="D595" s="0" t="s">
        <v>64</v>
      </c>
      <c r="E595" s="58" t="str">
        <f aca="false">VLOOKUP(D595,Models!$A$2:$B$13,2,0)</f>
        <v>32-inch Smart TV</v>
      </c>
      <c r="F595" s="0" t="s">
        <v>69</v>
      </c>
      <c r="G595" s="58" t="str">
        <f aca="false">VLOOKUP(F595,Countries!$A$2:$B$11,2,0)</f>
        <v>Egypt</v>
      </c>
      <c r="H595" s="13" t="n">
        <v>23</v>
      </c>
      <c r="I595" s="13" t="n">
        <v>105800</v>
      </c>
      <c r="J595" s="0" t="s">
        <v>14</v>
      </c>
      <c r="K595" s="0" t="s">
        <v>671</v>
      </c>
    </row>
    <row r="596" customFormat="false" ht="12.8" hidden="false" customHeight="false" outlineLevel="0" collapsed="false">
      <c r="A596" s="57" t="n">
        <v>46247</v>
      </c>
      <c r="B596" s="0" t="s">
        <v>686</v>
      </c>
      <c r="C596" s="0" t="s">
        <v>15</v>
      </c>
      <c r="D596" s="0" t="s">
        <v>85</v>
      </c>
      <c r="E596" s="58" t="str">
        <f aca="false">VLOOKUP(D596,Models!$A$2:$B$13,2,0)</f>
        <v>75-inch 4K TV</v>
      </c>
      <c r="F596" s="0" t="s">
        <v>69</v>
      </c>
      <c r="G596" s="58" t="str">
        <f aca="false">VLOOKUP(F596,Countries!$A$2:$B$11,2,0)</f>
        <v>Egypt</v>
      </c>
      <c r="H596" s="13" t="n">
        <v>11</v>
      </c>
      <c r="I596" s="13" t="n">
        <v>343200</v>
      </c>
      <c r="J596" s="0" t="s">
        <v>14</v>
      </c>
      <c r="K596" s="0" t="s">
        <v>671</v>
      </c>
    </row>
    <row r="597" customFormat="false" ht="12.8" hidden="false" customHeight="false" outlineLevel="0" collapsed="false">
      <c r="A597" s="57" t="n">
        <v>46247</v>
      </c>
      <c r="B597" s="0" t="s">
        <v>687</v>
      </c>
      <c r="C597" s="0" t="s">
        <v>15</v>
      </c>
      <c r="D597" s="0" t="s">
        <v>64</v>
      </c>
      <c r="E597" s="58" t="str">
        <f aca="false">VLOOKUP(D597,Models!$A$2:$B$13,2,0)</f>
        <v>32-inch Smart TV</v>
      </c>
      <c r="F597" s="0" t="s">
        <v>69</v>
      </c>
      <c r="G597" s="58" t="str">
        <f aca="false">VLOOKUP(F597,Countries!$A$2:$B$11,2,0)</f>
        <v>Egypt</v>
      </c>
      <c r="H597" s="13" t="n">
        <v>57</v>
      </c>
      <c r="I597" s="13" t="n">
        <v>262200</v>
      </c>
      <c r="J597" s="0" t="s">
        <v>14</v>
      </c>
      <c r="K597" s="0" t="s">
        <v>671</v>
      </c>
    </row>
    <row r="598" customFormat="false" ht="12.8" hidden="false" customHeight="false" outlineLevel="0" collapsed="false">
      <c r="A598" s="57" t="n">
        <v>46247</v>
      </c>
      <c r="B598" s="0" t="s">
        <v>688</v>
      </c>
      <c r="C598" s="0" t="s">
        <v>17</v>
      </c>
      <c r="D598" s="0" t="s">
        <v>90</v>
      </c>
      <c r="E598" s="58" t="str">
        <f aca="false">VLOOKUP(D598,Models!$A$2:$B$13,2,0)</f>
        <v>55-inch 4K TV</v>
      </c>
      <c r="F598" s="0" t="s">
        <v>69</v>
      </c>
      <c r="G598" s="58" t="str">
        <f aca="false">VLOOKUP(F598,Countries!$A$2:$B$11,2,0)</f>
        <v>Egypt</v>
      </c>
      <c r="H598" s="13" t="n">
        <v>21</v>
      </c>
      <c r="I598" s="13" t="n">
        <v>258300</v>
      </c>
      <c r="J598" s="0" t="s">
        <v>14</v>
      </c>
      <c r="K598" s="0" t="s">
        <v>671</v>
      </c>
    </row>
    <row r="599" customFormat="false" ht="12.8" hidden="false" customHeight="false" outlineLevel="0" collapsed="false">
      <c r="A599" s="57" t="n">
        <v>46247</v>
      </c>
      <c r="B599" s="0" t="s">
        <v>689</v>
      </c>
      <c r="C599" s="0" t="s">
        <v>17</v>
      </c>
      <c r="D599" s="0" t="s">
        <v>95</v>
      </c>
      <c r="E599" s="58" t="str">
        <f aca="false">VLOOKUP(D599,Models!$A$2:$B$13,2,0)</f>
        <v>32-inch HD TV</v>
      </c>
      <c r="F599" s="0" t="s">
        <v>177</v>
      </c>
      <c r="G599" s="58" t="str">
        <f aca="false">VLOOKUP(F599,Countries!$A$2:$B$11,2,0)</f>
        <v>Saudi Arabia</v>
      </c>
      <c r="H599" s="13" t="n">
        <v>31</v>
      </c>
      <c r="I599" s="13" t="n">
        <v>120900</v>
      </c>
      <c r="J599" s="0" t="s">
        <v>14</v>
      </c>
      <c r="K599" s="0" t="s">
        <v>671</v>
      </c>
    </row>
    <row r="600" customFormat="false" ht="12.8" hidden="false" customHeight="false" outlineLevel="0" collapsed="false">
      <c r="A600" s="57" t="n">
        <v>46247</v>
      </c>
      <c r="B600" s="0" t="s">
        <v>690</v>
      </c>
      <c r="C600" s="0" t="s">
        <v>17</v>
      </c>
      <c r="D600" s="0" t="s">
        <v>81</v>
      </c>
      <c r="E600" s="58" t="str">
        <f aca="false">VLOOKUP(D600,Models!$A$2:$B$13,2,0)</f>
        <v>43-inch Smart TV</v>
      </c>
      <c r="F600" s="0" t="s">
        <v>69</v>
      </c>
      <c r="G600" s="58" t="str">
        <f aca="false">VLOOKUP(F600,Countries!$A$2:$B$11,2,0)</f>
        <v>Egypt</v>
      </c>
      <c r="H600" s="13" t="n">
        <v>49</v>
      </c>
      <c r="I600" s="13" t="n">
        <v>382200</v>
      </c>
      <c r="J600" s="0" t="s">
        <v>14</v>
      </c>
      <c r="K600" s="0" t="s">
        <v>671</v>
      </c>
    </row>
    <row r="601" customFormat="false" ht="12.8" hidden="false" customHeight="false" outlineLevel="0" collapsed="false">
      <c r="A601" s="57" t="n">
        <v>46247</v>
      </c>
      <c r="B601" s="0" t="s">
        <v>691</v>
      </c>
      <c r="C601" s="0" t="s">
        <v>19</v>
      </c>
      <c r="D601" s="0" t="s">
        <v>77</v>
      </c>
      <c r="E601" s="58" t="str">
        <f aca="false">VLOOKUP(D601,Models!$A$2:$B$13,2,0)</f>
        <v>65-inch QLED TV</v>
      </c>
      <c r="F601" s="0" t="s">
        <v>177</v>
      </c>
      <c r="G601" s="58" t="str">
        <f aca="false">VLOOKUP(F601,Countries!$A$2:$B$11,2,0)</f>
        <v>Saudi Arabia</v>
      </c>
      <c r="H601" s="13" t="n">
        <v>18</v>
      </c>
      <c r="I601" s="13" t="n">
        <v>441000</v>
      </c>
      <c r="J601" s="0" t="s">
        <v>14</v>
      </c>
      <c r="K601" s="0" t="s">
        <v>671</v>
      </c>
    </row>
    <row r="602" customFormat="false" ht="12.8" hidden="false" customHeight="false" outlineLevel="0" collapsed="false">
      <c r="A602" s="57" t="n">
        <v>46247</v>
      </c>
      <c r="B602" s="0" t="s">
        <v>692</v>
      </c>
      <c r="C602" s="0" t="s">
        <v>19</v>
      </c>
      <c r="D602" s="0" t="s">
        <v>71</v>
      </c>
      <c r="E602" s="58" t="str">
        <f aca="false">VLOOKUP(D602,Models!$A$2:$B$13,2,0)</f>
        <v>43-inch Full HD TV</v>
      </c>
      <c r="F602" s="0" t="s">
        <v>69</v>
      </c>
      <c r="G602" s="58" t="str">
        <f aca="false">VLOOKUP(F602,Countries!$A$2:$B$11,2,0)</f>
        <v>Egypt</v>
      </c>
      <c r="H602" s="13" t="n">
        <v>12</v>
      </c>
      <c r="I602" s="13" t="n">
        <v>82800</v>
      </c>
      <c r="J602" s="0" t="s">
        <v>14</v>
      </c>
      <c r="K602" s="0" t="s">
        <v>671</v>
      </c>
    </row>
    <row r="603" customFormat="false" ht="12.8" hidden="false" customHeight="false" outlineLevel="0" collapsed="false">
      <c r="A603" s="57" t="n">
        <v>46247</v>
      </c>
      <c r="B603" s="0" t="s">
        <v>693</v>
      </c>
      <c r="C603" s="0" t="s">
        <v>19</v>
      </c>
      <c r="D603" s="0" t="s">
        <v>77</v>
      </c>
      <c r="E603" s="58" t="str">
        <f aca="false">VLOOKUP(D603,Models!$A$2:$B$13,2,0)</f>
        <v>65-inch QLED TV</v>
      </c>
      <c r="F603" s="0" t="s">
        <v>103</v>
      </c>
      <c r="G603" s="58" t="str">
        <f aca="false">VLOOKUP(F603,Countries!$A$2:$B$11,2,0)</f>
        <v>Morocco</v>
      </c>
      <c r="H603" s="13" t="n">
        <v>21</v>
      </c>
      <c r="I603" s="13" t="n">
        <v>514500</v>
      </c>
      <c r="J603" s="0" t="s">
        <v>14</v>
      </c>
      <c r="K603" s="0" t="s">
        <v>671</v>
      </c>
    </row>
    <row r="604" customFormat="false" ht="12.8" hidden="false" customHeight="false" outlineLevel="0" collapsed="false">
      <c r="A604" s="57" t="n">
        <v>46247</v>
      </c>
      <c r="B604" s="0" t="s">
        <v>694</v>
      </c>
      <c r="C604" s="0" t="s">
        <v>19</v>
      </c>
      <c r="D604" s="0" t="s">
        <v>90</v>
      </c>
      <c r="E604" s="58" t="str">
        <f aca="false">VLOOKUP(D604,Models!$A$2:$B$13,2,0)</f>
        <v>55-inch 4K TV</v>
      </c>
      <c r="F604" s="0" t="s">
        <v>103</v>
      </c>
      <c r="G604" s="58" t="str">
        <f aca="false">VLOOKUP(F604,Countries!$A$2:$B$11,2,0)</f>
        <v>Morocco</v>
      </c>
      <c r="H604" s="13" t="n">
        <v>33</v>
      </c>
      <c r="I604" s="13" t="n">
        <v>405900</v>
      </c>
      <c r="J604" s="0" t="s">
        <v>14</v>
      </c>
      <c r="K604" s="0" t="s">
        <v>671</v>
      </c>
    </row>
    <row r="605" customFormat="false" ht="12.8" hidden="false" customHeight="false" outlineLevel="0" collapsed="false">
      <c r="A605" s="57" t="n">
        <v>46247</v>
      </c>
      <c r="B605" s="0" t="s">
        <v>695</v>
      </c>
      <c r="C605" s="0" t="s">
        <v>20</v>
      </c>
      <c r="D605" s="0" t="s">
        <v>64</v>
      </c>
      <c r="E605" s="58" t="str">
        <f aca="false">VLOOKUP(D605,Models!$A$2:$B$13,2,0)</f>
        <v>32-inch Smart TV</v>
      </c>
      <c r="F605" s="0" t="s">
        <v>69</v>
      </c>
      <c r="G605" s="58" t="str">
        <f aca="false">VLOOKUP(F605,Countries!$A$2:$B$11,2,0)</f>
        <v>Egypt</v>
      </c>
      <c r="H605" s="13" t="n">
        <v>18</v>
      </c>
      <c r="I605" s="13" t="n">
        <v>82800</v>
      </c>
      <c r="J605" s="0" t="s">
        <v>14</v>
      </c>
      <c r="K605" s="0" t="s">
        <v>671</v>
      </c>
    </row>
    <row r="606" customFormat="false" ht="12.8" hidden="false" customHeight="false" outlineLevel="0" collapsed="false">
      <c r="A606" s="57" t="n">
        <v>46247</v>
      </c>
      <c r="B606" s="0" t="s">
        <v>696</v>
      </c>
      <c r="C606" s="0" t="s">
        <v>20</v>
      </c>
      <c r="D606" s="0" t="s">
        <v>92</v>
      </c>
      <c r="E606" s="58" t="str">
        <f aca="false">VLOOKUP(D606,Models!$A$2:$B$13,2,0)</f>
        <v>65-inch 4K TV</v>
      </c>
      <c r="F606" s="0" t="s">
        <v>69</v>
      </c>
      <c r="G606" s="58" t="str">
        <f aca="false">VLOOKUP(F606,Countries!$A$2:$B$11,2,0)</f>
        <v>Egypt</v>
      </c>
      <c r="H606" s="13" t="n">
        <v>20</v>
      </c>
      <c r="I606" s="13" t="n">
        <v>396000</v>
      </c>
      <c r="J606" s="0" t="s">
        <v>14</v>
      </c>
      <c r="K606" s="0" t="s">
        <v>671</v>
      </c>
    </row>
    <row r="607" customFormat="false" ht="12.8" hidden="false" customHeight="false" outlineLevel="0" collapsed="false">
      <c r="A607" s="57" t="n">
        <v>46247</v>
      </c>
      <c r="B607" s="0" t="s">
        <v>697</v>
      </c>
      <c r="C607" s="0" t="s">
        <v>20</v>
      </c>
      <c r="D607" s="0" t="s">
        <v>77</v>
      </c>
      <c r="E607" s="58" t="str">
        <f aca="false">VLOOKUP(D607,Models!$A$2:$B$13,2,0)</f>
        <v>65-inch QLED TV</v>
      </c>
      <c r="F607" s="0" t="s">
        <v>69</v>
      </c>
      <c r="G607" s="58" t="str">
        <f aca="false">VLOOKUP(F607,Countries!$A$2:$B$11,2,0)</f>
        <v>Egypt</v>
      </c>
      <c r="H607" s="13" t="n">
        <v>10</v>
      </c>
      <c r="I607" s="13" t="n">
        <v>245000</v>
      </c>
      <c r="J607" s="0" t="s">
        <v>14</v>
      </c>
      <c r="K607" s="0" t="s">
        <v>671</v>
      </c>
    </row>
    <row r="608" customFormat="false" ht="12.8" hidden="false" customHeight="false" outlineLevel="0" collapsed="false">
      <c r="A608" s="57" t="n">
        <v>46247</v>
      </c>
      <c r="B608" s="0" t="s">
        <v>698</v>
      </c>
      <c r="C608" s="0" t="s">
        <v>20</v>
      </c>
      <c r="D608" s="0" t="s">
        <v>92</v>
      </c>
      <c r="E608" s="58" t="str">
        <f aca="false">VLOOKUP(D608,Models!$A$2:$B$13,2,0)</f>
        <v>65-inch 4K TV</v>
      </c>
      <c r="F608" s="0" t="s">
        <v>79</v>
      </c>
      <c r="G608" s="58" t="str">
        <f aca="false">VLOOKUP(F608,Countries!$A$2:$B$11,2,0)</f>
        <v>Iraq</v>
      </c>
      <c r="H608" s="13" t="n">
        <v>14</v>
      </c>
      <c r="I608" s="13" t="n">
        <v>277200</v>
      </c>
      <c r="J608" s="0" t="s">
        <v>14</v>
      </c>
      <c r="K608" s="0" t="s">
        <v>671</v>
      </c>
    </row>
    <row r="609" customFormat="false" ht="12.8" hidden="false" customHeight="false" outlineLevel="0" collapsed="false">
      <c r="A609" s="57" t="n">
        <v>46247</v>
      </c>
      <c r="B609" s="0" t="s">
        <v>699</v>
      </c>
      <c r="C609" s="0" t="s">
        <v>21</v>
      </c>
      <c r="D609" s="0" t="s">
        <v>77</v>
      </c>
      <c r="E609" s="58" t="str">
        <f aca="false">VLOOKUP(D609,Models!$A$2:$B$13,2,0)</f>
        <v>65-inch QLED TV</v>
      </c>
      <c r="F609" s="0" t="s">
        <v>69</v>
      </c>
      <c r="G609" s="58" t="str">
        <f aca="false">VLOOKUP(F609,Countries!$A$2:$B$11,2,0)</f>
        <v>Egypt</v>
      </c>
      <c r="H609" s="13" t="n">
        <v>5</v>
      </c>
      <c r="I609" s="13" t="n">
        <v>122500</v>
      </c>
      <c r="J609" s="0" t="s">
        <v>14</v>
      </c>
      <c r="K609" s="0" t="s">
        <v>671</v>
      </c>
    </row>
    <row r="610" customFormat="false" ht="12.8" hidden="false" customHeight="false" outlineLevel="0" collapsed="false">
      <c r="A610" s="57" t="n">
        <v>46247</v>
      </c>
      <c r="B610" s="0" t="s">
        <v>700</v>
      </c>
      <c r="C610" s="0" t="s">
        <v>21</v>
      </c>
      <c r="D610" s="0" t="s">
        <v>92</v>
      </c>
      <c r="E610" s="58" t="str">
        <f aca="false">VLOOKUP(D610,Models!$A$2:$B$13,2,0)</f>
        <v>65-inch 4K TV</v>
      </c>
      <c r="F610" s="0" t="s">
        <v>75</v>
      </c>
      <c r="G610" s="58" t="str">
        <f aca="false">VLOOKUP(F610,Countries!$A$2:$B$11,2,0)</f>
        <v>Nigeria</v>
      </c>
      <c r="H610" s="13" t="n">
        <v>16</v>
      </c>
      <c r="I610" s="13" t="n">
        <v>316800</v>
      </c>
      <c r="J610" s="0" t="s">
        <v>14</v>
      </c>
      <c r="K610" s="0" t="s">
        <v>671</v>
      </c>
    </row>
    <row r="611" customFormat="false" ht="12.8" hidden="false" customHeight="false" outlineLevel="0" collapsed="false">
      <c r="A611" s="57" t="n">
        <v>46249</v>
      </c>
      <c r="B611" s="0" t="s">
        <v>701</v>
      </c>
      <c r="C611" s="0" t="s">
        <v>13</v>
      </c>
      <c r="D611" s="0" t="s">
        <v>64</v>
      </c>
      <c r="E611" s="58" t="str">
        <f aca="false">VLOOKUP(D611,Models!$A$2:$B$13,2,0)</f>
        <v>32-inch Smart TV</v>
      </c>
      <c r="F611" s="0" t="s">
        <v>69</v>
      </c>
      <c r="G611" s="58" t="str">
        <f aca="false">VLOOKUP(F611,Countries!$A$2:$B$11,2,0)</f>
        <v>Egypt</v>
      </c>
      <c r="H611" s="13" t="n">
        <v>40</v>
      </c>
      <c r="I611" s="13" t="n">
        <v>184000</v>
      </c>
      <c r="J611" s="0" t="s">
        <v>14</v>
      </c>
      <c r="K611" s="0" t="s">
        <v>671</v>
      </c>
    </row>
    <row r="612" customFormat="false" ht="12.8" hidden="false" customHeight="false" outlineLevel="0" collapsed="false">
      <c r="A612" s="57" t="n">
        <v>46249</v>
      </c>
      <c r="B612" s="0" t="s">
        <v>702</v>
      </c>
      <c r="C612" s="0" t="s">
        <v>15</v>
      </c>
      <c r="D612" s="0" t="s">
        <v>74</v>
      </c>
      <c r="E612" s="58" t="str">
        <f aca="false">VLOOKUP(D612,Models!$A$2:$B$13,2,0)</f>
        <v>40-inch Full HD TV</v>
      </c>
      <c r="F612" s="0" t="s">
        <v>75</v>
      </c>
      <c r="G612" s="58" t="str">
        <f aca="false">VLOOKUP(F612,Countries!$A$2:$B$11,2,0)</f>
        <v>Nigeria</v>
      </c>
      <c r="H612" s="13" t="n">
        <v>8</v>
      </c>
      <c r="I612" s="13" t="n">
        <v>49600</v>
      </c>
      <c r="J612" s="0" t="s">
        <v>14</v>
      </c>
      <c r="K612" s="0" t="s">
        <v>671</v>
      </c>
    </row>
    <row r="613" customFormat="false" ht="12.8" hidden="false" customHeight="false" outlineLevel="0" collapsed="false">
      <c r="A613" s="57" t="n">
        <v>46249</v>
      </c>
      <c r="B613" s="0" t="s">
        <v>703</v>
      </c>
      <c r="C613" s="0" t="s">
        <v>17</v>
      </c>
      <c r="D613" s="0" t="s">
        <v>71</v>
      </c>
      <c r="E613" s="58" t="str">
        <f aca="false">VLOOKUP(D613,Models!$A$2:$B$13,2,0)</f>
        <v>43-inch Full HD TV</v>
      </c>
      <c r="F613" s="0" t="s">
        <v>65</v>
      </c>
      <c r="G613" s="58" t="str">
        <f aca="false">VLOOKUP(F613,Countries!$A$2:$B$11,2,0)</f>
        <v>Jordan</v>
      </c>
      <c r="H613" s="13" t="n">
        <v>34</v>
      </c>
      <c r="I613" s="13" t="n">
        <v>234600</v>
      </c>
      <c r="J613" s="0" t="s">
        <v>14</v>
      </c>
      <c r="K613" s="0" t="s">
        <v>671</v>
      </c>
    </row>
    <row r="614" customFormat="false" ht="12.8" hidden="false" customHeight="false" outlineLevel="0" collapsed="false">
      <c r="A614" s="57" t="n">
        <v>46249</v>
      </c>
      <c r="B614" s="0" t="s">
        <v>704</v>
      </c>
      <c r="C614" s="0" t="s">
        <v>19</v>
      </c>
      <c r="D614" s="0" t="s">
        <v>85</v>
      </c>
      <c r="E614" s="58" t="str">
        <f aca="false">VLOOKUP(D614,Models!$A$2:$B$13,2,0)</f>
        <v>75-inch 4K TV</v>
      </c>
      <c r="F614" s="0" t="s">
        <v>72</v>
      </c>
      <c r="G614" s="58" t="str">
        <f aca="false">VLOOKUP(F614,Countries!$A$2:$B$11,2,0)</f>
        <v>Kenya</v>
      </c>
      <c r="H614" s="13" t="n">
        <v>8</v>
      </c>
      <c r="I614" s="13" t="n">
        <v>249600</v>
      </c>
      <c r="J614" s="0" t="s">
        <v>14</v>
      </c>
      <c r="K614" s="0" t="s">
        <v>671</v>
      </c>
    </row>
    <row r="615" customFormat="false" ht="12.8" hidden="false" customHeight="false" outlineLevel="0" collapsed="false">
      <c r="A615" s="57" t="n">
        <v>46249</v>
      </c>
      <c r="B615" s="0" t="s">
        <v>705</v>
      </c>
      <c r="C615" s="0" t="s">
        <v>19</v>
      </c>
      <c r="D615" s="0" t="s">
        <v>64</v>
      </c>
      <c r="E615" s="58" t="str">
        <f aca="false">VLOOKUP(D615,Models!$A$2:$B$13,2,0)</f>
        <v>32-inch Smart TV</v>
      </c>
      <c r="F615" s="0" t="s">
        <v>65</v>
      </c>
      <c r="G615" s="58" t="str">
        <f aca="false">VLOOKUP(F615,Countries!$A$2:$B$11,2,0)</f>
        <v>Jordan</v>
      </c>
      <c r="H615" s="13" t="n">
        <v>63</v>
      </c>
      <c r="I615" s="13" t="n">
        <v>289800</v>
      </c>
      <c r="J615" s="0" t="s">
        <v>14</v>
      </c>
      <c r="K615" s="0" t="s">
        <v>671</v>
      </c>
    </row>
    <row r="616" customFormat="false" ht="12.8" hidden="false" customHeight="false" outlineLevel="0" collapsed="false">
      <c r="A616" s="57" t="n">
        <v>46249</v>
      </c>
      <c r="B616" s="0" t="s">
        <v>706</v>
      </c>
      <c r="C616" s="0" t="s">
        <v>20</v>
      </c>
      <c r="D616" s="0" t="s">
        <v>64</v>
      </c>
      <c r="E616" s="58" t="str">
        <f aca="false">VLOOKUP(D616,Models!$A$2:$B$13,2,0)</f>
        <v>32-inch Smart TV</v>
      </c>
      <c r="F616" s="0" t="s">
        <v>103</v>
      </c>
      <c r="G616" s="58" t="str">
        <f aca="false">VLOOKUP(F616,Countries!$A$2:$B$11,2,0)</f>
        <v>Morocco</v>
      </c>
      <c r="H616" s="13" t="n">
        <v>24</v>
      </c>
      <c r="I616" s="13" t="n">
        <v>110400</v>
      </c>
      <c r="J616" s="0" t="s">
        <v>14</v>
      </c>
      <c r="K616" s="0" t="s">
        <v>671</v>
      </c>
    </row>
    <row r="617" customFormat="false" ht="12.8" hidden="false" customHeight="false" outlineLevel="0" collapsed="false">
      <c r="A617" s="57" t="n">
        <v>46249</v>
      </c>
      <c r="B617" s="0" t="s">
        <v>707</v>
      </c>
      <c r="C617" s="0" t="s">
        <v>20</v>
      </c>
      <c r="D617" s="0" t="s">
        <v>68</v>
      </c>
      <c r="E617" s="58" t="str">
        <f aca="false">VLOOKUP(D617,Models!$A$2:$B$13,2,0)</f>
        <v>50-inch 4K TV</v>
      </c>
      <c r="F617" s="0" t="s">
        <v>83</v>
      </c>
      <c r="G617" s="58" t="str">
        <f aca="false">VLOOKUP(F617,Countries!$A$2:$B$11,2,0)</f>
        <v>United Arab Emirates</v>
      </c>
      <c r="H617" s="13" t="n">
        <v>15</v>
      </c>
      <c r="I617" s="13" t="n">
        <v>156000</v>
      </c>
      <c r="J617" s="0" t="s">
        <v>14</v>
      </c>
      <c r="K617" s="0" t="s">
        <v>671</v>
      </c>
    </row>
    <row r="618" customFormat="false" ht="12.8" hidden="false" customHeight="false" outlineLevel="0" collapsed="false">
      <c r="A618" s="57" t="n">
        <v>46249</v>
      </c>
      <c r="B618" s="0" t="s">
        <v>708</v>
      </c>
      <c r="C618" s="0" t="s">
        <v>20</v>
      </c>
      <c r="D618" s="0" t="s">
        <v>90</v>
      </c>
      <c r="E618" s="58" t="str">
        <f aca="false">VLOOKUP(D618,Models!$A$2:$B$13,2,0)</f>
        <v>55-inch 4K TV</v>
      </c>
      <c r="F618" s="0" t="s">
        <v>69</v>
      </c>
      <c r="G618" s="58" t="str">
        <f aca="false">VLOOKUP(F618,Countries!$A$2:$B$11,2,0)</f>
        <v>Egypt</v>
      </c>
      <c r="H618" s="13" t="n">
        <v>6</v>
      </c>
      <c r="I618" s="13" t="n">
        <v>73800</v>
      </c>
      <c r="J618" s="0" t="s">
        <v>14</v>
      </c>
      <c r="K618" s="0" t="s">
        <v>671</v>
      </c>
    </row>
    <row r="619" customFormat="false" ht="12.8" hidden="false" customHeight="false" outlineLevel="0" collapsed="false">
      <c r="A619" s="57" t="n">
        <v>46249</v>
      </c>
      <c r="B619" s="0" t="s">
        <v>709</v>
      </c>
      <c r="C619" s="0" t="s">
        <v>20</v>
      </c>
      <c r="D619" s="0" t="s">
        <v>88</v>
      </c>
      <c r="E619" s="58" t="str">
        <f aca="false">VLOOKUP(D619,Models!$A$2:$B$13,2,0)</f>
        <v>24-inch HD TV</v>
      </c>
      <c r="F619" s="0" t="s">
        <v>69</v>
      </c>
      <c r="G619" s="58" t="str">
        <f aca="false">VLOOKUP(F619,Countries!$A$2:$B$11,2,0)</f>
        <v>Egypt</v>
      </c>
      <c r="H619" s="13" t="n">
        <v>45</v>
      </c>
      <c r="I619" s="13" t="n">
        <v>130500</v>
      </c>
      <c r="J619" s="0" t="s">
        <v>14</v>
      </c>
      <c r="K619" s="0" t="s">
        <v>671</v>
      </c>
    </row>
    <row r="620" customFormat="false" ht="12.8" hidden="false" customHeight="false" outlineLevel="0" collapsed="false">
      <c r="A620" s="57" t="n">
        <v>46249</v>
      </c>
      <c r="B620" s="0" t="s">
        <v>710</v>
      </c>
      <c r="C620" s="0" t="s">
        <v>21</v>
      </c>
      <c r="D620" s="0" t="s">
        <v>64</v>
      </c>
      <c r="E620" s="58" t="str">
        <f aca="false">VLOOKUP(D620,Models!$A$2:$B$13,2,0)</f>
        <v>32-inch Smart TV</v>
      </c>
      <c r="F620" s="0" t="s">
        <v>69</v>
      </c>
      <c r="G620" s="58" t="str">
        <f aca="false">VLOOKUP(F620,Countries!$A$2:$B$11,2,0)</f>
        <v>Egypt</v>
      </c>
      <c r="H620" s="13" t="n">
        <v>38</v>
      </c>
      <c r="I620" s="13" t="n">
        <v>174800</v>
      </c>
      <c r="J620" s="0" t="s">
        <v>14</v>
      </c>
      <c r="K620" s="0" t="s">
        <v>671</v>
      </c>
    </row>
    <row r="621" customFormat="false" ht="12.8" hidden="false" customHeight="false" outlineLevel="0" collapsed="false">
      <c r="A621" s="57" t="n">
        <v>46250</v>
      </c>
      <c r="B621" s="0" t="s">
        <v>711</v>
      </c>
      <c r="C621" s="0" t="s">
        <v>13</v>
      </c>
      <c r="D621" s="0" t="s">
        <v>90</v>
      </c>
      <c r="E621" s="58" t="str">
        <f aca="false">VLOOKUP(D621,Models!$A$2:$B$13,2,0)</f>
        <v>55-inch 4K TV</v>
      </c>
      <c r="F621" s="0" t="s">
        <v>69</v>
      </c>
      <c r="G621" s="58" t="str">
        <f aca="false">VLOOKUP(F621,Countries!$A$2:$B$11,2,0)</f>
        <v>Egypt</v>
      </c>
      <c r="H621" s="13" t="n">
        <v>33</v>
      </c>
      <c r="I621" s="13" t="n">
        <v>405900</v>
      </c>
      <c r="J621" s="0" t="s">
        <v>14</v>
      </c>
      <c r="K621" s="0" t="s">
        <v>671</v>
      </c>
    </row>
    <row r="622" customFormat="false" ht="12.8" hidden="false" customHeight="false" outlineLevel="0" collapsed="false">
      <c r="A622" s="57" t="n">
        <v>46250</v>
      </c>
      <c r="B622" s="0" t="s">
        <v>712</v>
      </c>
      <c r="C622" s="0" t="s">
        <v>13</v>
      </c>
      <c r="D622" s="0" t="s">
        <v>68</v>
      </c>
      <c r="E622" s="58" t="str">
        <f aca="false">VLOOKUP(D622,Models!$A$2:$B$13,2,0)</f>
        <v>50-inch 4K TV</v>
      </c>
      <c r="F622" s="0" t="s">
        <v>75</v>
      </c>
      <c r="G622" s="58" t="str">
        <f aca="false">VLOOKUP(F622,Countries!$A$2:$B$11,2,0)</f>
        <v>Nigeria</v>
      </c>
      <c r="H622" s="13" t="n">
        <v>12</v>
      </c>
      <c r="I622" s="13" t="n">
        <v>124800</v>
      </c>
      <c r="J622" s="0" t="s">
        <v>14</v>
      </c>
      <c r="K622" s="0" t="s">
        <v>671</v>
      </c>
    </row>
    <row r="623" customFormat="false" ht="12.8" hidden="false" customHeight="false" outlineLevel="0" collapsed="false">
      <c r="A623" s="57" t="n">
        <v>46250</v>
      </c>
      <c r="B623" s="0" t="s">
        <v>713</v>
      </c>
      <c r="C623" s="0" t="s">
        <v>13</v>
      </c>
      <c r="D623" s="0" t="s">
        <v>74</v>
      </c>
      <c r="E623" s="58" t="str">
        <f aca="false">VLOOKUP(D623,Models!$A$2:$B$13,2,0)</f>
        <v>40-inch Full HD TV</v>
      </c>
      <c r="F623" s="0" t="s">
        <v>83</v>
      </c>
      <c r="G623" s="58" t="str">
        <f aca="false">VLOOKUP(F623,Countries!$A$2:$B$11,2,0)</f>
        <v>United Arab Emirates</v>
      </c>
      <c r="H623" s="13" t="n">
        <v>21</v>
      </c>
      <c r="I623" s="13" t="n">
        <v>130200</v>
      </c>
      <c r="J623" s="0" t="s">
        <v>14</v>
      </c>
      <c r="K623" s="0" t="s">
        <v>671</v>
      </c>
    </row>
    <row r="624" customFormat="false" ht="12.8" hidden="false" customHeight="false" outlineLevel="0" collapsed="false">
      <c r="A624" s="57" t="n">
        <v>46250</v>
      </c>
      <c r="B624" s="0" t="s">
        <v>714</v>
      </c>
      <c r="C624" s="0" t="s">
        <v>15</v>
      </c>
      <c r="D624" s="0" t="s">
        <v>74</v>
      </c>
      <c r="E624" s="58" t="str">
        <f aca="false">VLOOKUP(D624,Models!$A$2:$B$13,2,0)</f>
        <v>40-inch Full HD TV</v>
      </c>
      <c r="F624" s="0" t="s">
        <v>69</v>
      </c>
      <c r="G624" s="58" t="str">
        <f aca="false">VLOOKUP(F624,Countries!$A$2:$B$11,2,0)</f>
        <v>Egypt</v>
      </c>
      <c r="H624" s="13" t="n">
        <v>7</v>
      </c>
      <c r="I624" s="13" t="n">
        <v>43400</v>
      </c>
      <c r="J624" s="0" t="s">
        <v>14</v>
      </c>
      <c r="K624" s="0" t="s">
        <v>671</v>
      </c>
    </row>
    <row r="625" customFormat="false" ht="12.8" hidden="false" customHeight="false" outlineLevel="0" collapsed="false">
      <c r="A625" s="57" t="n">
        <v>46250</v>
      </c>
      <c r="B625" s="0" t="s">
        <v>715</v>
      </c>
      <c r="C625" s="0" t="s">
        <v>17</v>
      </c>
      <c r="D625" s="0" t="s">
        <v>109</v>
      </c>
      <c r="E625" s="58" t="str">
        <f aca="false">VLOOKUP(D625,Models!$A$2:$B$13,2,0)</f>
        <v>55-inch QLED TV</v>
      </c>
      <c r="F625" s="0" t="s">
        <v>83</v>
      </c>
      <c r="G625" s="58" t="str">
        <f aca="false">VLOOKUP(F625,Countries!$A$2:$B$11,2,0)</f>
        <v>United Arab Emirates</v>
      </c>
      <c r="H625" s="13" t="n">
        <v>22</v>
      </c>
      <c r="I625" s="13" t="n">
        <v>343200</v>
      </c>
      <c r="J625" s="0" t="s">
        <v>14</v>
      </c>
      <c r="K625" s="0" t="s">
        <v>671</v>
      </c>
    </row>
    <row r="626" customFormat="false" ht="12.8" hidden="false" customHeight="false" outlineLevel="0" collapsed="false">
      <c r="A626" s="57" t="n">
        <v>46250</v>
      </c>
      <c r="B626" s="0" t="s">
        <v>716</v>
      </c>
      <c r="C626" s="0" t="s">
        <v>17</v>
      </c>
      <c r="D626" s="0" t="s">
        <v>81</v>
      </c>
      <c r="E626" s="58" t="str">
        <f aca="false">VLOOKUP(D626,Models!$A$2:$B$13,2,0)</f>
        <v>43-inch Smart TV</v>
      </c>
      <c r="F626" s="0" t="s">
        <v>69</v>
      </c>
      <c r="G626" s="58" t="str">
        <f aca="false">VLOOKUP(F626,Countries!$A$2:$B$11,2,0)</f>
        <v>Egypt</v>
      </c>
      <c r="H626" s="13" t="n">
        <v>46</v>
      </c>
      <c r="I626" s="13" t="n">
        <v>358800</v>
      </c>
      <c r="J626" s="0" t="s">
        <v>14</v>
      </c>
      <c r="K626" s="0" t="s">
        <v>671</v>
      </c>
    </row>
    <row r="627" customFormat="false" ht="12.8" hidden="false" customHeight="false" outlineLevel="0" collapsed="false">
      <c r="A627" s="57" t="n">
        <v>46250</v>
      </c>
      <c r="B627" s="0" t="s">
        <v>717</v>
      </c>
      <c r="C627" s="0" t="s">
        <v>17</v>
      </c>
      <c r="D627" s="0" t="s">
        <v>92</v>
      </c>
      <c r="E627" s="58" t="str">
        <f aca="false">VLOOKUP(D627,Models!$A$2:$B$13,2,0)</f>
        <v>65-inch 4K TV</v>
      </c>
      <c r="F627" s="0" t="s">
        <v>69</v>
      </c>
      <c r="G627" s="58" t="str">
        <f aca="false">VLOOKUP(F627,Countries!$A$2:$B$11,2,0)</f>
        <v>Egypt</v>
      </c>
      <c r="H627" s="13" t="n">
        <v>19</v>
      </c>
      <c r="I627" s="13" t="n">
        <v>376200</v>
      </c>
      <c r="J627" s="0" t="s">
        <v>14</v>
      </c>
      <c r="K627" s="0" t="s">
        <v>671</v>
      </c>
    </row>
    <row r="628" customFormat="false" ht="12.8" hidden="false" customHeight="false" outlineLevel="0" collapsed="false">
      <c r="A628" s="57" t="n">
        <v>46250</v>
      </c>
      <c r="B628" s="0" t="s">
        <v>718</v>
      </c>
      <c r="C628" s="0" t="s">
        <v>17</v>
      </c>
      <c r="D628" s="0" t="s">
        <v>88</v>
      </c>
      <c r="E628" s="58" t="str">
        <f aca="false">VLOOKUP(D628,Models!$A$2:$B$13,2,0)</f>
        <v>24-inch HD TV</v>
      </c>
      <c r="F628" s="0" t="s">
        <v>69</v>
      </c>
      <c r="G628" s="58" t="str">
        <f aca="false">VLOOKUP(F628,Countries!$A$2:$B$11,2,0)</f>
        <v>Egypt</v>
      </c>
      <c r="H628" s="13" t="n">
        <v>16</v>
      </c>
      <c r="I628" s="13" t="n">
        <v>46400</v>
      </c>
      <c r="J628" s="0" t="s">
        <v>14</v>
      </c>
      <c r="K628" s="0" t="s">
        <v>671</v>
      </c>
    </row>
    <row r="629" customFormat="false" ht="12.8" hidden="false" customHeight="false" outlineLevel="0" collapsed="false">
      <c r="A629" s="57" t="n">
        <v>46250</v>
      </c>
      <c r="B629" s="0" t="s">
        <v>719</v>
      </c>
      <c r="C629" s="0" t="s">
        <v>19</v>
      </c>
      <c r="D629" s="0" t="s">
        <v>109</v>
      </c>
      <c r="E629" s="58" t="str">
        <f aca="false">VLOOKUP(D629,Models!$A$2:$B$13,2,0)</f>
        <v>55-inch QLED TV</v>
      </c>
      <c r="F629" s="0" t="s">
        <v>69</v>
      </c>
      <c r="G629" s="58" t="str">
        <f aca="false">VLOOKUP(F629,Countries!$A$2:$B$11,2,0)</f>
        <v>Egypt</v>
      </c>
      <c r="H629" s="13" t="n">
        <v>10</v>
      </c>
      <c r="I629" s="13" t="n">
        <v>156000</v>
      </c>
      <c r="J629" s="0" t="s">
        <v>14</v>
      </c>
      <c r="K629" s="0" t="s">
        <v>671</v>
      </c>
    </row>
    <row r="630" customFormat="false" ht="12.8" hidden="false" customHeight="false" outlineLevel="0" collapsed="false">
      <c r="A630" s="57" t="n">
        <v>46250</v>
      </c>
      <c r="B630" s="0" t="s">
        <v>720</v>
      </c>
      <c r="C630" s="0" t="s">
        <v>19</v>
      </c>
      <c r="D630" s="0" t="s">
        <v>71</v>
      </c>
      <c r="E630" s="58" t="str">
        <f aca="false">VLOOKUP(D630,Models!$A$2:$B$13,2,0)</f>
        <v>43-inch Full HD TV</v>
      </c>
      <c r="F630" s="0" t="s">
        <v>69</v>
      </c>
      <c r="G630" s="58" t="str">
        <f aca="false">VLOOKUP(F630,Countries!$A$2:$B$11,2,0)</f>
        <v>Egypt</v>
      </c>
      <c r="H630" s="13" t="n">
        <v>41</v>
      </c>
      <c r="I630" s="13" t="n">
        <v>282900</v>
      </c>
      <c r="J630" s="0" t="s">
        <v>14</v>
      </c>
      <c r="K630" s="0" t="s">
        <v>671</v>
      </c>
    </row>
    <row r="631" customFormat="false" ht="12.8" hidden="false" customHeight="false" outlineLevel="0" collapsed="false">
      <c r="A631" s="57" t="n">
        <v>46250</v>
      </c>
      <c r="B631" s="0" t="s">
        <v>721</v>
      </c>
      <c r="C631" s="0" t="s">
        <v>20</v>
      </c>
      <c r="D631" s="0" t="s">
        <v>64</v>
      </c>
      <c r="E631" s="58" t="str">
        <f aca="false">VLOOKUP(D631,Models!$A$2:$B$13,2,0)</f>
        <v>32-inch Smart TV</v>
      </c>
      <c r="F631" s="0" t="s">
        <v>103</v>
      </c>
      <c r="G631" s="58" t="str">
        <f aca="false">VLOOKUP(F631,Countries!$A$2:$B$11,2,0)</f>
        <v>Morocco</v>
      </c>
      <c r="H631" s="13" t="n">
        <v>54</v>
      </c>
      <c r="I631" s="13" t="n">
        <v>248400</v>
      </c>
      <c r="J631" s="0" t="s">
        <v>14</v>
      </c>
      <c r="K631" s="0" t="s">
        <v>671</v>
      </c>
    </row>
    <row r="632" customFormat="false" ht="12.8" hidden="false" customHeight="false" outlineLevel="0" collapsed="false">
      <c r="A632" s="57" t="n">
        <v>46250</v>
      </c>
      <c r="B632" s="0" t="s">
        <v>722</v>
      </c>
      <c r="C632" s="0" t="s">
        <v>20</v>
      </c>
      <c r="D632" s="0" t="s">
        <v>85</v>
      </c>
      <c r="E632" s="58" t="str">
        <f aca="false">VLOOKUP(D632,Models!$A$2:$B$13,2,0)</f>
        <v>75-inch 4K TV</v>
      </c>
      <c r="F632" s="0" t="s">
        <v>69</v>
      </c>
      <c r="G632" s="58" t="str">
        <f aca="false">VLOOKUP(F632,Countries!$A$2:$B$11,2,0)</f>
        <v>Egypt</v>
      </c>
      <c r="H632" s="13" t="n">
        <v>8</v>
      </c>
      <c r="I632" s="13" t="n">
        <v>249600</v>
      </c>
      <c r="J632" s="0" t="s">
        <v>14</v>
      </c>
      <c r="K632" s="0" t="s">
        <v>671</v>
      </c>
    </row>
    <row r="633" customFormat="false" ht="12.8" hidden="false" customHeight="false" outlineLevel="0" collapsed="false">
      <c r="A633" s="57" t="n">
        <v>46250</v>
      </c>
      <c r="B633" s="0" t="s">
        <v>723</v>
      </c>
      <c r="C633" s="0" t="s">
        <v>21</v>
      </c>
      <c r="D633" s="0" t="s">
        <v>74</v>
      </c>
      <c r="E633" s="58" t="str">
        <f aca="false">VLOOKUP(D633,Models!$A$2:$B$13,2,0)</f>
        <v>40-inch Full HD TV</v>
      </c>
      <c r="F633" s="0" t="s">
        <v>69</v>
      </c>
      <c r="G633" s="58" t="str">
        <f aca="false">VLOOKUP(F633,Countries!$A$2:$B$11,2,0)</f>
        <v>Egypt</v>
      </c>
      <c r="H633" s="13" t="n">
        <v>10</v>
      </c>
      <c r="I633" s="13" t="n">
        <v>62000</v>
      </c>
      <c r="J633" s="0" t="s">
        <v>14</v>
      </c>
      <c r="K633" s="0" t="s">
        <v>671</v>
      </c>
    </row>
    <row r="634" customFormat="false" ht="12.8" hidden="false" customHeight="false" outlineLevel="0" collapsed="false">
      <c r="A634" s="57" t="n">
        <v>46251</v>
      </c>
      <c r="B634" s="0" t="s">
        <v>724</v>
      </c>
      <c r="C634" s="0" t="s">
        <v>13</v>
      </c>
      <c r="D634" s="0" t="s">
        <v>88</v>
      </c>
      <c r="E634" s="58" t="str">
        <f aca="false">VLOOKUP(D634,Models!$A$2:$B$13,2,0)</f>
        <v>24-inch HD TV</v>
      </c>
      <c r="F634" s="0" t="s">
        <v>69</v>
      </c>
      <c r="G634" s="58" t="str">
        <f aca="false">VLOOKUP(F634,Countries!$A$2:$B$11,2,0)</f>
        <v>Egypt</v>
      </c>
      <c r="H634" s="13" t="n">
        <v>50</v>
      </c>
      <c r="I634" s="13" t="n">
        <v>145000</v>
      </c>
      <c r="J634" s="0" t="s">
        <v>14</v>
      </c>
      <c r="K634" s="0" t="s">
        <v>671</v>
      </c>
    </row>
    <row r="635" customFormat="false" ht="12.8" hidden="false" customHeight="false" outlineLevel="0" collapsed="false">
      <c r="A635" s="57" t="n">
        <v>46251</v>
      </c>
      <c r="B635" s="0" t="s">
        <v>725</v>
      </c>
      <c r="C635" s="0" t="s">
        <v>13</v>
      </c>
      <c r="D635" s="0" t="s">
        <v>88</v>
      </c>
      <c r="E635" s="58" t="str">
        <f aca="false">VLOOKUP(D635,Models!$A$2:$B$13,2,0)</f>
        <v>24-inch HD TV</v>
      </c>
      <c r="F635" s="0" t="s">
        <v>79</v>
      </c>
      <c r="G635" s="58" t="str">
        <f aca="false">VLOOKUP(F635,Countries!$A$2:$B$11,2,0)</f>
        <v>Iraq</v>
      </c>
      <c r="H635" s="13" t="n">
        <v>52</v>
      </c>
      <c r="I635" s="13" t="n">
        <v>150800</v>
      </c>
      <c r="J635" s="0" t="s">
        <v>14</v>
      </c>
      <c r="K635" s="0" t="s">
        <v>671</v>
      </c>
    </row>
    <row r="636" customFormat="false" ht="12.8" hidden="false" customHeight="false" outlineLevel="0" collapsed="false">
      <c r="A636" s="57" t="n">
        <v>46251</v>
      </c>
      <c r="B636" s="0" t="s">
        <v>726</v>
      </c>
      <c r="C636" s="0" t="s">
        <v>13</v>
      </c>
      <c r="D636" s="0" t="s">
        <v>88</v>
      </c>
      <c r="E636" s="58" t="str">
        <f aca="false">VLOOKUP(D636,Models!$A$2:$B$13,2,0)</f>
        <v>24-inch HD TV</v>
      </c>
      <c r="F636" s="0" t="s">
        <v>98</v>
      </c>
      <c r="G636" s="58" t="str">
        <f aca="false">VLOOKUP(F636,Countries!$A$2:$B$11,2,0)</f>
        <v>Libya</v>
      </c>
      <c r="H636" s="13" t="n">
        <v>61</v>
      </c>
      <c r="I636" s="13" t="n">
        <v>176900</v>
      </c>
      <c r="J636" s="0" t="s">
        <v>14</v>
      </c>
      <c r="K636" s="0" t="s">
        <v>671</v>
      </c>
    </row>
    <row r="637" customFormat="false" ht="12.8" hidden="false" customHeight="false" outlineLevel="0" collapsed="false">
      <c r="A637" s="57" t="n">
        <v>46251</v>
      </c>
      <c r="B637" s="0" t="s">
        <v>727</v>
      </c>
      <c r="C637" s="0" t="s">
        <v>13</v>
      </c>
      <c r="D637" s="0" t="s">
        <v>109</v>
      </c>
      <c r="E637" s="58" t="str">
        <f aca="false">VLOOKUP(D637,Models!$A$2:$B$13,2,0)</f>
        <v>55-inch QLED TV</v>
      </c>
      <c r="F637" s="0" t="s">
        <v>69</v>
      </c>
      <c r="G637" s="58" t="str">
        <f aca="false">VLOOKUP(F637,Countries!$A$2:$B$11,2,0)</f>
        <v>Egypt</v>
      </c>
      <c r="H637" s="13" t="n">
        <v>25</v>
      </c>
      <c r="I637" s="13" t="n">
        <v>390000</v>
      </c>
      <c r="J637" s="0" t="s">
        <v>14</v>
      </c>
      <c r="K637" s="0" t="s">
        <v>671</v>
      </c>
    </row>
    <row r="638" customFormat="false" ht="12.8" hidden="false" customHeight="false" outlineLevel="0" collapsed="false">
      <c r="A638" s="57" t="n">
        <v>46251</v>
      </c>
      <c r="B638" s="0" t="s">
        <v>728</v>
      </c>
      <c r="C638" s="0" t="s">
        <v>13</v>
      </c>
      <c r="D638" s="0" t="s">
        <v>92</v>
      </c>
      <c r="E638" s="58" t="str">
        <f aca="false">VLOOKUP(D638,Models!$A$2:$B$13,2,0)</f>
        <v>65-inch 4K TV</v>
      </c>
      <c r="F638" s="0" t="s">
        <v>69</v>
      </c>
      <c r="G638" s="58" t="str">
        <f aca="false">VLOOKUP(F638,Countries!$A$2:$B$11,2,0)</f>
        <v>Egypt</v>
      </c>
      <c r="H638" s="13" t="n">
        <v>22</v>
      </c>
      <c r="I638" s="13" t="n">
        <v>435600</v>
      </c>
      <c r="J638" s="0" t="s">
        <v>14</v>
      </c>
      <c r="K638" s="0" t="s">
        <v>671</v>
      </c>
    </row>
    <row r="639" customFormat="false" ht="12.8" hidden="false" customHeight="false" outlineLevel="0" collapsed="false">
      <c r="A639" s="57" t="n">
        <v>46251</v>
      </c>
      <c r="B639" s="0" t="s">
        <v>729</v>
      </c>
      <c r="C639" s="0" t="s">
        <v>13</v>
      </c>
      <c r="D639" s="0" t="s">
        <v>77</v>
      </c>
      <c r="E639" s="58" t="str">
        <f aca="false">VLOOKUP(D639,Models!$A$2:$B$13,2,0)</f>
        <v>65-inch QLED TV</v>
      </c>
      <c r="F639" s="0" t="s">
        <v>69</v>
      </c>
      <c r="G639" s="58" t="str">
        <f aca="false">VLOOKUP(F639,Countries!$A$2:$B$11,2,0)</f>
        <v>Egypt</v>
      </c>
      <c r="H639" s="13" t="n">
        <v>18</v>
      </c>
      <c r="I639" s="13" t="n">
        <v>441000</v>
      </c>
      <c r="J639" s="0" t="s">
        <v>14</v>
      </c>
      <c r="K639" s="0" t="s">
        <v>671</v>
      </c>
    </row>
    <row r="640" customFormat="false" ht="12.8" hidden="false" customHeight="false" outlineLevel="0" collapsed="false">
      <c r="A640" s="57" t="n">
        <v>46251</v>
      </c>
      <c r="B640" s="0" t="s">
        <v>730</v>
      </c>
      <c r="C640" s="0" t="s">
        <v>15</v>
      </c>
      <c r="D640" s="0" t="s">
        <v>88</v>
      </c>
      <c r="E640" s="58" t="str">
        <f aca="false">VLOOKUP(D640,Models!$A$2:$B$13,2,0)</f>
        <v>24-inch HD TV</v>
      </c>
      <c r="F640" s="0" t="s">
        <v>69</v>
      </c>
      <c r="G640" s="58" t="str">
        <f aca="false">VLOOKUP(F640,Countries!$A$2:$B$11,2,0)</f>
        <v>Egypt</v>
      </c>
      <c r="H640" s="13" t="n">
        <v>38</v>
      </c>
      <c r="I640" s="13" t="n">
        <v>110200</v>
      </c>
      <c r="J640" s="0" t="s">
        <v>14</v>
      </c>
      <c r="K640" s="0" t="s">
        <v>671</v>
      </c>
    </row>
    <row r="641" customFormat="false" ht="12.8" hidden="false" customHeight="false" outlineLevel="0" collapsed="false">
      <c r="A641" s="57" t="n">
        <v>46251</v>
      </c>
      <c r="B641" s="0" t="s">
        <v>731</v>
      </c>
      <c r="C641" s="0" t="s">
        <v>15</v>
      </c>
      <c r="D641" s="0" t="s">
        <v>109</v>
      </c>
      <c r="E641" s="58" t="str">
        <f aca="false">VLOOKUP(D641,Models!$A$2:$B$13,2,0)</f>
        <v>55-inch QLED TV</v>
      </c>
      <c r="F641" s="0" t="s">
        <v>83</v>
      </c>
      <c r="G641" s="58" t="str">
        <f aca="false">VLOOKUP(F641,Countries!$A$2:$B$11,2,0)</f>
        <v>United Arab Emirates</v>
      </c>
      <c r="H641" s="13" t="n">
        <v>22</v>
      </c>
      <c r="I641" s="13" t="n">
        <v>343200</v>
      </c>
      <c r="J641" s="0" t="s">
        <v>14</v>
      </c>
      <c r="K641" s="0" t="s">
        <v>671</v>
      </c>
    </row>
    <row r="642" customFormat="false" ht="12.8" hidden="false" customHeight="false" outlineLevel="0" collapsed="false">
      <c r="A642" s="57" t="n">
        <v>46251</v>
      </c>
      <c r="B642" s="0" t="s">
        <v>732</v>
      </c>
      <c r="C642" s="0" t="s">
        <v>15</v>
      </c>
      <c r="D642" s="0" t="s">
        <v>95</v>
      </c>
      <c r="E642" s="58" t="str">
        <f aca="false">VLOOKUP(D642,Models!$A$2:$B$13,2,0)</f>
        <v>32-inch HD TV</v>
      </c>
      <c r="F642" s="0" t="s">
        <v>69</v>
      </c>
      <c r="G642" s="58" t="str">
        <f aca="false">VLOOKUP(F642,Countries!$A$2:$B$11,2,0)</f>
        <v>Egypt</v>
      </c>
      <c r="H642" s="13" t="n">
        <v>42</v>
      </c>
      <c r="I642" s="13" t="n">
        <v>163800</v>
      </c>
      <c r="J642" s="0" t="s">
        <v>14</v>
      </c>
      <c r="K642" s="0" t="s">
        <v>671</v>
      </c>
    </row>
    <row r="643" customFormat="false" ht="12.8" hidden="false" customHeight="false" outlineLevel="0" collapsed="false">
      <c r="A643" s="57" t="n">
        <v>46251</v>
      </c>
      <c r="B643" s="0" t="s">
        <v>733</v>
      </c>
      <c r="C643" s="0" t="s">
        <v>15</v>
      </c>
      <c r="D643" s="0" t="s">
        <v>85</v>
      </c>
      <c r="E643" s="58" t="str">
        <f aca="false">VLOOKUP(D643,Models!$A$2:$B$13,2,0)</f>
        <v>75-inch 4K TV</v>
      </c>
      <c r="F643" s="0" t="s">
        <v>69</v>
      </c>
      <c r="G643" s="58" t="str">
        <f aca="false">VLOOKUP(F643,Countries!$A$2:$B$11,2,0)</f>
        <v>Egypt</v>
      </c>
      <c r="H643" s="13" t="n">
        <v>9</v>
      </c>
      <c r="I643" s="13" t="n">
        <v>280800</v>
      </c>
      <c r="J643" s="0" t="s">
        <v>14</v>
      </c>
      <c r="K643" s="0" t="s">
        <v>671</v>
      </c>
    </row>
    <row r="644" customFormat="false" ht="12.8" hidden="false" customHeight="false" outlineLevel="0" collapsed="false">
      <c r="A644" s="57" t="n">
        <v>46251</v>
      </c>
      <c r="B644" s="0" t="s">
        <v>734</v>
      </c>
      <c r="C644" s="0" t="s">
        <v>17</v>
      </c>
      <c r="D644" s="0" t="s">
        <v>109</v>
      </c>
      <c r="E644" s="58" t="str">
        <f aca="false">VLOOKUP(D644,Models!$A$2:$B$13,2,0)</f>
        <v>55-inch QLED TV</v>
      </c>
      <c r="F644" s="0" t="s">
        <v>69</v>
      </c>
      <c r="G644" s="58" t="str">
        <f aca="false">VLOOKUP(F644,Countries!$A$2:$B$11,2,0)</f>
        <v>Egypt</v>
      </c>
      <c r="H644" s="13" t="n">
        <v>13</v>
      </c>
      <c r="I644" s="13" t="n">
        <v>202800</v>
      </c>
      <c r="J644" s="0" t="s">
        <v>14</v>
      </c>
      <c r="K644" s="0" t="s">
        <v>671</v>
      </c>
    </row>
    <row r="645" customFormat="false" ht="12.8" hidden="false" customHeight="false" outlineLevel="0" collapsed="false">
      <c r="A645" s="57" t="n">
        <v>46251</v>
      </c>
      <c r="B645" s="0" t="s">
        <v>735</v>
      </c>
      <c r="C645" s="0" t="s">
        <v>19</v>
      </c>
      <c r="D645" s="0" t="s">
        <v>77</v>
      </c>
      <c r="E645" s="58" t="str">
        <f aca="false">VLOOKUP(D645,Models!$A$2:$B$13,2,0)</f>
        <v>65-inch QLED TV</v>
      </c>
      <c r="F645" s="0" t="s">
        <v>69</v>
      </c>
      <c r="G645" s="58" t="str">
        <f aca="false">VLOOKUP(F645,Countries!$A$2:$B$11,2,0)</f>
        <v>Egypt</v>
      </c>
      <c r="H645" s="13" t="n">
        <v>19</v>
      </c>
      <c r="I645" s="13" t="n">
        <v>465500</v>
      </c>
      <c r="J645" s="0" t="s">
        <v>14</v>
      </c>
      <c r="K645" s="0" t="s">
        <v>671</v>
      </c>
    </row>
    <row r="646" customFormat="false" ht="12.8" hidden="false" customHeight="false" outlineLevel="0" collapsed="false">
      <c r="A646" s="57" t="n">
        <v>46251</v>
      </c>
      <c r="B646" s="0" t="s">
        <v>736</v>
      </c>
      <c r="C646" s="0" t="s">
        <v>19</v>
      </c>
      <c r="D646" s="0" t="s">
        <v>68</v>
      </c>
      <c r="E646" s="58" t="str">
        <f aca="false">VLOOKUP(D646,Models!$A$2:$B$13,2,0)</f>
        <v>50-inch 4K TV</v>
      </c>
      <c r="F646" s="0" t="s">
        <v>69</v>
      </c>
      <c r="G646" s="58" t="str">
        <f aca="false">VLOOKUP(F646,Countries!$A$2:$B$11,2,0)</f>
        <v>Egypt</v>
      </c>
      <c r="H646" s="13" t="n">
        <v>17</v>
      </c>
      <c r="I646" s="13" t="n">
        <v>176800</v>
      </c>
      <c r="J646" s="0" t="s">
        <v>14</v>
      </c>
      <c r="K646" s="0" t="s">
        <v>671</v>
      </c>
    </row>
    <row r="647" customFormat="false" ht="12.8" hidden="false" customHeight="false" outlineLevel="0" collapsed="false">
      <c r="A647" s="57" t="n">
        <v>46251</v>
      </c>
      <c r="B647" s="0" t="s">
        <v>737</v>
      </c>
      <c r="C647" s="0" t="s">
        <v>19</v>
      </c>
      <c r="D647" s="0" t="s">
        <v>71</v>
      </c>
      <c r="E647" s="58" t="str">
        <f aca="false">VLOOKUP(D647,Models!$A$2:$B$13,2,0)</f>
        <v>43-inch Full HD TV</v>
      </c>
      <c r="F647" s="0" t="s">
        <v>72</v>
      </c>
      <c r="G647" s="58" t="str">
        <f aca="false">VLOOKUP(F647,Countries!$A$2:$B$11,2,0)</f>
        <v>Kenya</v>
      </c>
      <c r="H647" s="13" t="n">
        <v>28</v>
      </c>
      <c r="I647" s="13" t="n">
        <v>193200</v>
      </c>
      <c r="J647" s="0" t="s">
        <v>14</v>
      </c>
      <c r="K647" s="0" t="s">
        <v>671</v>
      </c>
    </row>
    <row r="648" customFormat="false" ht="12.8" hidden="false" customHeight="false" outlineLevel="0" collapsed="false">
      <c r="A648" s="57" t="n">
        <v>46251</v>
      </c>
      <c r="B648" s="0" t="s">
        <v>738</v>
      </c>
      <c r="C648" s="0" t="s">
        <v>20</v>
      </c>
      <c r="D648" s="0" t="s">
        <v>92</v>
      </c>
      <c r="E648" s="58" t="str">
        <f aca="false">VLOOKUP(D648,Models!$A$2:$B$13,2,0)</f>
        <v>65-inch 4K TV</v>
      </c>
      <c r="F648" s="0" t="s">
        <v>103</v>
      </c>
      <c r="G648" s="58" t="str">
        <f aca="false">VLOOKUP(F648,Countries!$A$2:$B$11,2,0)</f>
        <v>Morocco</v>
      </c>
      <c r="H648" s="13" t="n">
        <v>18</v>
      </c>
      <c r="I648" s="13" t="n">
        <v>356400</v>
      </c>
      <c r="J648" s="0" t="s">
        <v>14</v>
      </c>
      <c r="K648" s="0" t="s">
        <v>671</v>
      </c>
    </row>
    <row r="649" customFormat="false" ht="12.8" hidden="false" customHeight="false" outlineLevel="0" collapsed="false">
      <c r="A649" s="57" t="n">
        <v>46251</v>
      </c>
      <c r="B649" s="0" t="s">
        <v>739</v>
      </c>
      <c r="C649" s="0" t="s">
        <v>21</v>
      </c>
      <c r="D649" s="0" t="s">
        <v>90</v>
      </c>
      <c r="E649" s="58" t="str">
        <f aca="false">VLOOKUP(D649,Models!$A$2:$B$13,2,0)</f>
        <v>55-inch 4K TV</v>
      </c>
      <c r="F649" s="0" t="s">
        <v>69</v>
      </c>
      <c r="G649" s="58" t="str">
        <f aca="false">VLOOKUP(F649,Countries!$A$2:$B$11,2,0)</f>
        <v>Egypt</v>
      </c>
      <c r="H649" s="13" t="n">
        <v>32</v>
      </c>
      <c r="I649" s="13" t="n">
        <v>393600</v>
      </c>
      <c r="J649" s="0" t="s">
        <v>14</v>
      </c>
      <c r="K649" s="0" t="s">
        <v>671</v>
      </c>
    </row>
    <row r="650" customFormat="false" ht="12.8" hidden="false" customHeight="false" outlineLevel="0" collapsed="false">
      <c r="A650" s="57" t="n">
        <v>46252</v>
      </c>
      <c r="B650" s="0" t="s">
        <v>740</v>
      </c>
      <c r="C650" s="0" t="s">
        <v>13</v>
      </c>
      <c r="D650" s="0" t="s">
        <v>92</v>
      </c>
      <c r="E650" s="58" t="str">
        <f aca="false">VLOOKUP(D650,Models!$A$2:$B$13,2,0)</f>
        <v>65-inch 4K TV</v>
      </c>
      <c r="F650" s="0" t="s">
        <v>79</v>
      </c>
      <c r="G650" s="58" t="str">
        <f aca="false">VLOOKUP(F650,Countries!$A$2:$B$11,2,0)</f>
        <v>Iraq</v>
      </c>
      <c r="H650" s="13" t="n">
        <v>12</v>
      </c>
      <c r="I650" s="13" t="n">
        <v>237600</v>
      </c>
      <c r="J650" s="0" t="s">
        <v>14</v>
      </c>
      <c r="K650" s="0" t="s">
        <v>671</v>
      </c>
    </row>
    <row r="651" customFormat="false" ht="12.8" hidden="false" customHeight="false" outlineLevel="0" collapsed="false">
      <c r="A651" s="57" t="n">
        <v>46252</v>
      </c>
      <c r="B651" s="0" t="s">
        <v>741</v>
      </c>
      <c r="C651" s="0" t="s">
        <v>13</v>
      </c>
      <c r="D651" s="0" t="s">
        <v>74</v>
      </c>
      <c r="E651" s="58" t="str">
        <f aca="false">VLOOKUP(D651,Models!$A$2:$B$13,2,0)</f>
        <v>40-inch Full HD TV</v>
      </c>
      <c r="F651" s="0" t="s">
        <v>177</v>
      </c>
      <c r="G651" s="58" t="str">
        <f aca="false">VLOOKUP(F651,Countries!$A$2:$B$11,2,0)</f>
        <v>Saudi Arabia</v>
      </c>
      <c r="H651" s="13" t="n">
        <v>42</v>
      </c>
      <c r="I651" s="13" t="n">
        <v>260400</v>
      </c>
      <c r="J651" s="0" t="s">
        <v>14</v>
      </c>
      <c r="K651" s="0" t="s">
        <v>671</v>
      </c>
    </row>
    <row r="652" customFormat="false" ht="12.8" hidden="false" customHeight="false" outlineLevel="0" collapsed="false">
      <c r="A652" s="57" t="n">
        <v>46252</v>
      </c>
      <c r="B652" s="0" t="s">
        <v>742</v>
      </c>
      <c r="C652" s="0" t="s">
        <v>13</v>
      </c>
      <c r="D652" s="0" t="s">
        <v>109</v>
      </c>
      <c r="E652" s="58" t="str">
        <f aca="false">VLOOKUP(D652,Models!$A$2:$B$13,2,0)</f>
        <v>55-inch QLED TV</v>
      </c>
      <c r="F652" s="0" t="s">
        <v>69</v>
      </c>
      <c r="G652" s="58" t="str">
        <f aca="false">VLOOKUP(F652,Countries!$A$2:$B$11,2,0)</f>
        <v>Egypt</v>
      </c>
      <c r="H652" s="13" t="n">
        <v>24</v>
      </c>
      <c r="I652" s="13" t="n">
        <v>374400</v>
      </c>
      <c r="J652" s="0" t="s">
        <v>14</v>
      </c>
      <c r="K652" s="0" t="s">
        <v>671</v>
      </c>
    </row>
    <row r="653" customFormat="false" ht="12.8" hidden="false" customHeight="false" outlineLevel="0" collapsed="false">
      <c r="A653" s="57" t="n">
        <v>46252</v>
      </c>
      <c r="B653" s="0" t="s">
        <v>743</v>
      </c>
      <c r="C653" s="0" t="s">
        <v>15</v>
      </c>
      <c r="D653" s="0" t="s">
        <v>85</v>
      </c>
      <c r="E653" s="58" t="str">
        <f aca="false">VLOOKUP(D653,Models!$A$2:$B$13,2,0)</f>
        <v>75-inch 4K TV</v>
      </c>
      <c r="F653" s="0" t="s">
        <v>177</v>
      </c>
      <c r="G653" s="58" t="str">
        <f aca="false">VLOOKUP(F653,Countries!$A$2:$B$11,2,0)</f>
        <v>Saudi Arabia</v>
      </c>
      <c r="H653" s="13" t="n">
        <v>15</v>
      </c>
      <c r="I653" s="13" t="n">
        <v>468000</v>
      </c>
      <c r="J653" s="0" t="s">
        <v>14</v>
      </c>
      <c r="K653" s="0" t="s">
        <v>671</v>
      </c>
    </row>
    <row r="654" customFormat="false" ht="12.8" hidden="false" customHeight="false" outlineLevel="0" collapsed="false">
      <c r="A654" s="57" t="n">
        <v>46252</v>
      </c>
      <c r="B654" s="0" t="s">
        <v>744</v>
      </c>
      <c r="C654" s="0" t="s">
        <v>15</v>
      </c>
      <c r="D654" s="0" t="s">
        <v>64</v>
      </c>
      <c r="E654" s="58" t="str">
        <f aca="false">VLOOKUP(D654,Models!$A$2:$B$13,2,0)</f>
        <v>32-inch Smart TV</v>
      </c>
      <c r="F654" s="0" t="s">
        <v>72</v>
      </c>
      <c r="G654" s="58" t="str">
        <f aca="false">VLOOKUP(F654,Countries!$A$2:$B$11,2,0)</f>
        <v>Kenya</v>
      </c>
      <c r="H654" s="13" t="n">
        <v>29</v>
      </c>
      <c r="I654" s="13" t="n">
        <v>133400</v>
      </c>
      <c r="J654" s="0" t="s">
        <v>14</v>
      </c>
      <c r="K654" s="0" t="s">
        <v>671</v>
      </c>
    </row>
    <row r="655" customFormat="false" ht="12.8" hidden="false" customHeight="false" outlineLevel="0" collapsed="false">
      <c r="A655" s="57" t="n">
        <v>46252</v>
      </c>
      <c r="B655" s="0" t="s">
        <v>745</v>
      </c>
      <c r="C655" s="0" t="s">
        <v>17</v>
      </c>
      <c r="D655" s="0" t="s">
        <v>109</v>
      </c>
      <c r="E655" s="58" t="str">
        <f aca="false">VLOOKUP(D655,Models!$A$2:$B$13,2,0)</f>
        <v>55-inch QLED TV</v>
      </c>
      <c r="F655" s="0" t="s">
        <v>83</v>
      </c>
      <c r="G655" s="58" t="str">
        <f aca="false">VLOOKUP(F655,Countries!$A$2:$B$11,2,0)</f>
        <v>United Arab Emirates</v>
      </c>
      <c r="H655" s="13" t="n">
        <v>17</v>
      </c>
      <c r="I655" s="13" t="n">
        <v>265200</v>
      </c>
      <c r="J655" s="0" t="s">
        <v>14</v>
      </c>
      <c r="K655" s="0" t="s">
        <v>671</v>
      </c>
    </row>
    <row r="656" customFormat="false" ht="12.8" hidden="false" customHeight="false" outlineLevel="0" collapsed="false">
      <c r="A656" s="57" t="n">
        <v>46252</v>
      </c>
      <c r="B656" s="0" t="s">
        <v>746</v>
      </c>
      <c r="C656" s="0" t="s">
        <v>19</v>
      </c>
      <c r="D656" s="0" t="s">
        <v>81</v>
      </c>
      <c r="E656" s="58" t="str">
        <f aca="false">VLOOKUP(D656,Models!$A$2:$B$13,2,0)</f>
        <v>43-inch Smart TV</v>
      </c>
      <c r="F656" s="0" t="s">
        <v>69</v>
      </c>
      <c r="G656" s="58" t="str">
        <f aca="false">VLOOKUP(F656,Countries!$A$2:$B$11,2,0)</f>
        <v>Egypt</v>
      </c>
      <c r="H656" s="13" t="n">
        <v>13</v>
      </c>
      <c r="I656" s="13" t="n">
        <v>101400</v>
      </c>
      <c r="J656" s="0" t="s">
        <v>14</v>
      </c>
      <c r="K656" s="0" t="s">
        <v>671</v>
      </c>
    </row>
    <row r="657" customFormat="false" ht="12.8" hidden="false" customHeight="false" outlineLevel="0" collapsed="false">
      <c r="A657" s="57" t="n">
        <v>46252</v>
      </c>
      <c r="B657" s="0" t="s">
        <v>747</v>
      </c>
      <c r="C657" s="0" t="s">
        <v>19</v>
      </c>
      <c r="D657" s="0" t="s">
        <v>71</v>
      </c>
      <c r="E657" s="58" t="str">
        <f aca="false">VLOOKUP(D657,Models!$A$2:$B$13,2,0)</f>
        <v>43-inch Full HD TV</v>
      </c>
      <c r="F657" s="0" t="s">
        <v>75</v>
      </c>
      <c r="G657" s="58" t="str">
        <f aca="false">VLOOKUP(F657,Countries!$A$2:$B$11,2,0)</f>
        <v>Nigeria</v>
      </c>
      <c r="H657" s="13" t="n">
        <v>47</v>
      </c>
      <c r="I657" s="13" t="n">
        <v>324300</v>
      </c>
      <c r="J657" s="0" t="s">
        <v>14</v>
      </c>
      <c r="K657" s="0" t="s">
        <v>671</v>
      </c>
    </row>
    <row r="658" customFormat="false" ht="12.8" hidden="false" customHeight="false" outlineLevel="0" collapsed="false">
      <c r="A658" s="57" t="n">
        <v>46252</v>
      </c>
      <c r="B658" s="0" t="s">
        <v>748</v>
      </c>
      <c r="C658" s="0" t="s">
        <v>20</v>
      </c>
      <c r="D658" s="0" t="s">
        <v>81</v>
      </c>
      <c r="E658" s="58" t="str">
        <f aca="false">VLOOKUP(D658,Models!$A$2:$B$13,2,0)</f>
        <v>43-inch Smart TV</v>
      </c>
      <c r="F658" s="0" t="s">
        <v>177</v>
      </c>
      <c r="G658" s="58" t="str">
        <f aca="false">VLOOKUP(F658,Countries!$A$2:$B$11,2,0)</f>
        <v>Saudi Arabia</v>
      </c>
      <c r="H658" s="13" t="n">
        <v>8</v>
      </c>
      <c r="I658" s="13" t="n">
        <v>62400</v>
      </c>
      <c r="J658" s="0" t="s">
        <v>14</v>
      </c>
      <c r="K658" s="0" t="s">
        <v>671</v>
      </c>
    </row>
    <row r="659" customFormat="false" ht="12.8" hidden="false" customHeight="false" outlineLevel="0" collapsed="false">
      <c r="A659" s="57" t="n">
        <v>46252</v>
      </c>
      <c r="B659" s="0" t="s">
        <v>749</v>
      </c>
      <c r="C659" s="0" t="s">
        <v>20</v>
      </c>
      <c r="D659" s="0" t="s">
        <v>95</v>
      </c>
      <c r="E659" s="58" t="str">
        <f aca="false">VLOOKUP(D659,Models!$A$2:$B$13,2,0)</f>
        <v>32-inch HD TV</v>
      </c>
      <c r="F659" s="0" t="s">
        <v>69</v>
      </c>
      <c r="G659" s="58" t="str">
        <f aca="false">VLOOKUP(F659,Countries!$A$2:$B$11,2,0)</f>
        <v>Egypt</v>
      </c>
      <c r="H659" s="13" t="n">
        <v>28</v>
      </c>
      <c r="I659" s="13" t="n">
        <v>109200</v>
      </c>
      <c r="J659" s="0" t="s">
        <v>14</v>
      </c>
      <c r="K659" s="0" t="s">
        <v>671</v>
      </c>
    </row>
    <row r="660" customFormat="false" ht="12.8" hidden="false" customHeight="false" outlineLevel="0" collapsed="false">
      <c r="A660" s="57" t="n">
        <v>46252</v>
      </c>
      <c r="B660" s="0" t="s">
        <v>750</v>
      </c>
      <c r="C660" s="0" t="s">
        <v>21</v>
      </c>
      <c r="D660" s="0" t="s">
        <v>74</v>
      </c>
      <c r="E660" s="58" t="str">
        <f aca="false">VLOOKUP(D660,Models!$A$2:$B$13,2,0)</f>
        <v>40-inch Full HD TV</v>
      </c>
      <c r="F660" s="0" t="s">
        <v>65</v>
      </c>
      <c r="G660" s="58" t="str">
        <f aca="false">VLOOKUP(F660,Countries!$A$2:$B$11,2,0)</f>
        <v>Jordan</v>
      </c>
      <c r="H660" s="13" t="n">
        <v>40</v>
      </c>
      <c r="I660" s="13" t="n">
        <v>248000</v>
      </c>
      <c r="J660" s="0" t="s">
        <v>14</v>
      </c>
      <c r="K660" s="0" t="s">
        <v>671</v>
      </c>
    </row>
    <row r="661" customFormat="false" ht="12.8" hidden="false" customHeight="false" outlineLevel="0" collapsed="false">
      <c r="A661" s="57" t="n">
        <v>46252</v>
      </c>
      <c r="B661" s="0" t="s">
        <v>751</v>
      </c>
      <c r="C661" s="0" t="s">
        <v>21</v>
      </c>
      <c r="D661" s="0" t="s">
        <v>77</v>
      </c>
      <c r="E661" s="58" t="str">
        <f aca="false">VLOOKUP(D661,Models!$A$2:$B$13,2,0)</f>
        <v>65-inch QLED TV</v>
      </c>
      <c r="F661" s="0" t="s">
        <v>177</v>
      </c>
      <c r="G661" s="58" t="str">
        <f aca="false">VLOOKUP(F661,Countries!$A$2:$B$11,2,0)</f>
        <v>Saudi Arabia</v>
      </c>
      <c r="H661" s="13" t="n">
        <v>8</v>
      </c>
      <c r="I661" s="13" t="n">
        <v>196000</v>
      </c>
      <c r="J661" s="0" t="s">
        <v>14</v>
      </c>
      <c r="K661" s="0" t="s">
        <v>671</v>
      </c>
    </row>
    <row r="662" customFormat="false" ht="12.8" hidden="false" customHeight="false" outlineLevel="0" collapsed="false">
      <c r="A662" s="57" t="n">
        <v>46253</v>
      </c>
      <c r="B662" s="0" t="s">
        <v>752</v>
      </c>
      <c r="C662" s="0" t="s">
        <v>13</v>
      </c>
      <c r="D662" s="0" t="s">
        <v>71</v>
      </c>
      <c r="E662" s="58" t="str">
        <f aca="false">VLOOKUP(D662,Models!$A$2:$B$13,2,0)</f>
        <v>43-inch Full HD TV</v>
      </c>
      <c r="F662" s="0" t="s">
        <v>83</v>
      </c>
      <c r="G662" s="58" t="str">
        <f aca="false">VLOOKUP(F662,Countries!$A$2:$B$11,2,0)</f>
        <v>United Arab Emirates</v>
      </c>
      <c r="H662" s="13" t="n">
        <v>43</v>
      </c>
      <c r="I662" s="13" t="n">
        <v>296700</v>
      </c>
      <c r="J662" s="0" t="s">
        <v>14</v>
      </c>
      <c r="K662" s="0" t="s">
        <v>753</v>
      </c>
    </row>
    <row r="663" customFormat="false" ht="12.8" hidden="false" customHeight="false" outlineLevel="0" collapsed="false">
      <c r="A663" s="57" t="n">
        <v>46253</v>
      </c>
      <c r="B663" s="0" t="s">
        <v>754</v>
      </c>
      <c r="C663" s="0" t="s">
        <v>15</v>
      </c>
      <c r="D663" s="0" t="s">
        <v>71</v>
      </c>
      <c r="E663" s="58" t="str">
        <f aca="false">VLOOKUP(D663,Models!$A$2:$B$13,2,0)</f>
        <v>43-inch Full HD TV</v>
      </c>
      <c r="F663" s="0" t="s">
        <v>98</v>
      </c>
      <c r="G663" s="58" t="str">
        <f aca="false">VLOOKUP(F663,Countries!$A$2:$B$11,2,0)</f>
        <v>Libya</v>
      </c>
      <c r="H663" s="13" t="n">
        <v>10</v>
      </c>
      <c r="I663" s="13" t="n">
        <v>69000</v>
      </c>
      <c r="J663" s="0" t="s">
        <v>14</v>
      </c>
      <c r="K663" s="0" t="s">
        <v>753</v>
      </c>
    </row>
    <row r="664" customFormat="false" ht="12.8" hidden="false" customHeight="false" outlineLevel="0" collapsed="false">
      <c r="A664" s="57" t="n">
        <v>46253</v>
      </c>
      <c r="B664" s="0" t="s">
        <v>755</v>
      </c>
      <c r="C664" s="0" t="s">
        <v>15</v>
      </c>
      <c r="D664" s="0" t="s">
        <v>77</v>
      </c>
      <c r="E664" s="58" t="str">
        <f aca="false">VLOOKUP(D664,Models!$A$2:$B$13,2,0)</f>
        <v>65-inch QLED TV</v>
      </c>
      <c r="F664" s="0" t="s">
        <v>69</v>
      </c>
      <c r="G664" s="58" t="str">
        <f aca="false">VLOOKUP(F664,Countries!$A$2:$B$11,2,0)</f>
        <v>Egypt</v>
      </c>
      <c r="H664" s="13" t="n">
        <v>13</v>
      </c>
      <c r="I664" s="13" t="n">
        <v>318500</v>
      </c>
      <c r="J664" s="0" t="s">
        <v>14</v>
      </c>
      <c r="K664" s="0" t="s">
        <v>753</v>
      </c>
    </row>
    <row r="665" customFormat="false" ht="12.8" hidden="false" customHeight="false" outlineLevel="0" collapsed="false">
      <c r="A665" s="57" t="n">
        <v>46253</v>
      </c>
      <c r="B665" s="0" t="s">
        <v>756</v>
      </c>
      <c r="C665" s="0" t="s">
        <v>15</v>
      </c>
      <c r="D665" s="0" t="s">
        <v>71</v>
      </c>
      <c r="E665" s="58" t="str">
        <f aca="false">VLOOKUP(D665,Models!$A$2:$B$13,2,0)</f>
        <v>43-inch Full HD TV</v>
      </c>
      <c r="F665" s="0" t="s">
        <v>69</v>
      </c>
      <c r="G665" s="58" t="str">
        <f aca="false">VLOOKUP(F665,Countries!$A$2:$B$11,2,0)</f>
        <v>Egypt</v>
      </c>
      <c r="H665" s="13" t="n">
        <v>37</v>
      </c>
      <c r="I665" s="13" t="n">
        <v>255300</v>
      </c>
      <c r="J665" s="0" t="s">
        <v>14</v>
      </c>
      <c r="K665" s="0" t="s">
        <v>753</v>
      </c>
    </row>
    <row r="666" customFormat="false" ht="12.8" hidden="false" customHeight="false" outlineLevel="0" collapsed="false">
      <c r="A666" s="57" t="n">
        <v>46253</v>
      </c>
      <c r="B666" s="0" t="s">
        <v>757</v>
      </c>
      <c r="C666" s="0" t="s">
        <v>15</v>
      </c>
      <c r="D666" s="0" t="s">
        <v>85</v>
      </c>
      <c r="E666" s="58" t="str">
        <f aca="false">VLOOKUP(D666,Models!$A$2:$B$13,2,0)</f>
        <v>75-inch 4K TV</v>
      </c>
      <c r="F666" s="0" t="s">
        <v>72</v>
      </c>
      <c r="G666" s="58" t="str">
        <f aca="false">VLOOKUP(F666,Countries!$A$2:$B$11,2,0)</f>
        <v>Kenya</v>
      </c>
      <c r="H666" s="13" t="n">
        <v>11</v>
      </c>
      <c r="I666" s="13" t="n">
        <v>343200</v>
      </c>
      <c r="J666" s="0" t="s">
        <v>14</v>
      </c>
      <c r="K666" s="0" t="s">
        <v>753</v>
      </c>
    </row>
    <row r="667" customFormat="false" ht="12.8" hidden="false" customHeight="false" outlineLevel="0" collapsed="false">
      <c r="A667" s="57" t="n">
        <v>46253</v>
      </c>
      <c r="B667" s="0" t="s">
        <v>758</v>
      </c>
      <c r="C667" s="0" t="s">
        <v>17</v>
      </c>
      <c r="D667" s="0" t="s">
        <v>92</v>
      </c>
      <c r="E667" s="58" t="str">
        <f aca="false">VLOOKUP(D667,Models!$A$2:$B$13,2,0)</f>
        <v>65-inch 4K TV</v>
      </c>
      <c r="F667" s="0" t="s">
        <v>69</v>
      </c>
      <c r="G667" s="58" t="str">
        <f aca="false">VLOOKUP(F667,Countries!$A$2:$B$11,2,0)</f>
        <v>Egypt</v>
      </c>
      <c r="H667" s="13" t="n">
        <v>19</v>
      </c>
      <c r="I667" s="13" t="n">
        <v>376200</v>
      </c>
      <c r="J667" s="0" t="s">
        <v>14</v>
      </c>
      <c r="K667" s="0" t="s">
        <v>753</v>
      </c>
    </row>
    <row r="668" customFormat="false" ht="12.8" hidden="false" customHeight="false" outlineLevel="0" collapsed="false">
      <c r="A668" s="57" t="n">
        <v>46253</v>
      </c>
      <c r="B668" s="0" t="s">
        <v>759</v>
      </c>
      <c r="C668" s="0" t="s">
        <v>17</v>
      </c>
      <c r="D668" s="0" t="s">
        <v>109</v>
      </c>
      <c r="E668" s="58" t="str">
        <f aca="false">VLOOKUP(D668,Models!$A$2:$B$13,2,0)</f>
        <v>55-inch QLED TV</v>
      </c>
      <c r="F668" s="0" t="s">
        <v>69</v>
      </c>
      <c r="G668" s="58" t="str">
        <f aca="false">VLOOKUP(F668,Countries!$A$2:$B$11,2,0)</f>
        <v>Egypt</v>
      </c>
      <c r="H668" s="13" t="n">
        <v>32</v>
      </c>
      <c r="I668" s="13" t="n">
        <v>499200</v>
      </c>
      <c r="J668" s="0" t="s">
        <v>14</v>
      </c>
      <c r="K668" s="0" t="s">
        <v>753</v>
      </c>
    </row>
    <row r="669" customFormat="false" ht="12.8" hidden="false" customHeight="false" outlineLevel="0" collapsed="false">
      <c r="A669" s="57" t="n">
        <v>46253</v>
      </c>
      <c r="B669" s="0" t="s">
        <v>760</v>
      </c>
      <c r="C669" s="0" t="s">
        <v>17</v>
      </c>
      <c r="D669" s="0" t="s">
        <v>81</v>
      </c>
      <c r="E669" s="58" t="str">
        <f aca="false">VLOOKUP(D669,Models!$A$2:$B$13,2,0)</f>
        <v>43-inch Smart TV</v>
      </c>
      <c r="F669" s="0" t="s">
        <v>69</v>
      </c>
      <c r="G669" s="58" t="str">
        <f aca="false">VLOOKUP(F669,Countries!$A$2:$B$11,2,0)</f>
        <v>Egypt</v>
      </c>
      <c r="H669" s="13" t="n">
        <v>40</v>
      </c>
      <c r="I669" s="13" t="n">
        <v>312000</v>
      </c>
      <c r="J669" s="0" t="s">
        <v>14</v>
      </c>
      <c r="K669" s="0" t="s">
        <v>753</v>
      </c>
    </row>
    <row r="670" customFormat="false" ht="12.8" hidden="false" customHeight="false" outlineLevel="0" collapsed="false">
      <c r="A670" s="57" t="n">
        <v>46253</v>
      </c>
      <c r="B670" s="0" t="s">
        <v>761</v>
      </c>
      <c r="C670" s="0" t="s">
        <v>17</v>
      </c>
      <c r="D670" s="0" t="s">
        <v>71</v>
      </c>
      <c r="E670" s="58" t="str">
        <f aca="false">VLOOKUP(D670,Models!$A$2:$B$13,2,0)</f>
        <v>43-inch Full HD TV</v>
      </c>
      <c r="F670" s="0" t="s">
        <v>69</v>
      </c>
      <c r="G670" s="58" t="str">
        <f aca="false">VLOOKUP(F670,Countries!$A$2:$B$11,2,0)</f>
        <v>Egypt</v>
      </c>
      <c r="H670" s="13" t="n">
        <v>14</v>
      </c>
      <c r="I670" s="13" t="n">
        <v>96600</v>
      </c>
      <c r="J670" s="0" t="s">
        <v>14</v>
      </c>
      <c r="K670" s="0" t="s">
        <v>753</v>
      </c>
    </row>
    <row r="671" customFormat="false" ht="12.8" hidden="false" customHeight="false" outlineLevel="0" collapsed="false">
      <c r="A671" s="57" t="n">
        <v>46253</v>
      </c>
      <c r="B671" s="0" t="s">
        <v>762</v>
      </c>
      <c r="C671" s="0" t="s">
        <v>19</v>
      </c>
      <c r="D671" s="0" t="s">
        <v>90</v>
      </c>
      <c r="E671" s="58" t="str">
        <f aca="false">VLOOKUP(D671,Models!$A$2:$B$13,2,0)</f>
        <v>55-inch 4K TV</v>
      </c>
      <c r="F671" s="0" t="s">
        <v>69</v>
      </c>
      <c r="G671" s="58" t="str">
        <f aca="false">VLOOKUP(F671,Countries!$A$2:$B$11,2,0)</f>
        <v>Egypt</v>
      </c>
      <c r="H671" s="13" t="n">
        <v>9</v>
      </c>
      <c r="I671" s="13" t="n">
        <v>110700</v>
      </c>
      <c r="J671" s="0" t="s">
        <v>14</v>
      </c>
      <c r="K671" s="0" t="s">
        <v>753</v>
      </c>
    </row>
    <row r="672" customFormat="false" ht="12.8" hidden="false" customHeight="false" outlineLevel="0" collapsed="false">
      <c r="A672" s="57" t="n">
        <v>46253</v>
      </c>
      <c r="B672" s="0" t="s">
        <v>763</v>
      </c>
      <c r="C672" s="0" t="s">
        <v>19</v>
      </c>
      <c r="D672" s="0" t="s">
        <v>81</v>
      </c>
      <c r="E672" s="58" t="str">
        <f aca="false">VLOOKUP(D672,Models!$A$2:$B$13,2,0)</f>
        <v>43-inch Smart TV</v>
      </c>
      <c r="F672" s="0" t="s">
        <v>69</v>
      </c>
      <c r="G672" s="58" t="str">
        <f aca="false">VLOOKUP(F672,Countries!$A$2:$B$11,2,0)</f>
        <v>Egypt</v>
      </c>
      <c r="H672" s="13" t="n">
        <v>40</v>
      </c>
      <c r="I672" s="13" t="n">
        <v>312000</v>
      </c>
      <c r="J672" s="0" t="s">
        <v>14</v>
      </c>
      <c r="K672" s="0" t="s">
        <v>753</v>
      </c>
    </row>
    <row r="673" customFormat="false" ht="12.8" hidden="false" customHeight="false" outlineLevel="0" collapsed="false">
      <c r="A673" s="57" t="n">
        <v>46253</v>
      </c>
      <c r="B673" s="0" t="s">
        <v>764</v>
      </c>
      <c r="C673" s="0" t="s">
        <v>20</v>
      </c>
      <c r="D673" s="0" t="s">
        <v>77</v>
      </c>
      <c r="E673" s="58" t="str">
        <f aca="false">VLOOKUP(D673,Models!$A$2:$B$13,2,0)</f>
        <v>65-inch QLED TV</v>
      </c>
      <c r="F673" s="0" t="s">
        <v>69</v>
      </c>
      <c r="G673" s="58" t="str">
        <f aca="false">VLOOKUP(F673,Countries!$A$2:$B$11,2,0)</f>
        <v>Egypt</v>
      </c>
      <c r="H673" s="13" t="n">
        <v>9</v>
      </c>
      <c r="I673" s="13" t="n">
        <v>220500</v>
      </c>
      <c r="J673" s="0" t="s">
        <v>14</v>
      </c>
      <c r="K673" s="0" t="s">
        <v>753</v>
      </c>
    </row>
    <row r="674" customFormat="false" ht="12.8" hidden="false" customHeight="false" outlineLevel="0" collapsed="false">
      <c r="A674" s="57" t="n">
        <v>46253</v>
      </c>
      <c r="B674" s="0" t="s">
        <v>765</v>
      </c>
      <c r="C674" s="0" t="s">
        <v>20</v>
      </c>
      <c r="D674" s="0" t="s">
        <v>81</v>
      </c>
      <c r="E674" s="58" t="str">
        <f aca="false">VLOOKUP(D674,Models!$A$2:$B$13,2,0)</f>
        <v>43-inch Smart TV</v>
      </c>
      <c r="F674" s="0" t="s">
        <v>98</v>
      </c>
      <c r="G674" s="58" t="str">
        <f aca="false">VLOOKUP(F674,Countries!$A$2:$B$11,2,0)</f>
        <v>Libya</v>
      </c>
      <c r="H674" s="13" t="n">
        <v>49</v>
      </c>
      <c r="I674" s="13" t="n">
        <v>382200</v>
      </c>
      <c r="J674" s="0" t="s">
        <v>14</v>
      </c>
      <c r="K674" s="0" t="s">
        <v>753</v>
      </c>
    </row>
    <row r="675" customFormat="false" ht="12.8" hidden="false" customHeight="false" outlineLevel="0" collapsed="false">
      <c r="A675" s="57" t="n">
        <v>46253</v>
      </c>
      <c r="B675" s="0" t="s">
        <v>766</v>
      </c>
      <c r="C675" s="0" t="s">
        <v>20</v>
      </c>
      <c r="D675" s="0" t="s">
        <v>74</v>
      </c>
      <c r="E675" s="58" t="str">
        <f aca="false">VLOOKUP(D675,Models!$A$2:$B$13,2,0)</f>
        <v>40-inch Full HD TV</v>
      </c>
      <c r="F675" s="0" t="s">
        <v>72</v>
      </c>
      <c r="G675" s="58" t="str">
        <f aca="false">VLOOKUP(F675,Countries!$A$2:$B$11,2,0)</f>
        <v>Kenya</v>
      </c>
      <c r="H675" s="13" t="n">
        <v>5</v>
      </c>
      <c r="I675" s="13" t="n">
        <v>31000</v>
      </c>
      <c r="J675" s="0" t="s">
        <v>14</v>
      </c>
      <c r="K675" s="0" t="s">
        <v>753</v>
      </c>
    </row>
    <row r="676" customFormat="false" ht="12.8" hidden="false" customHeight="false" outlineLevel="0" collapsed="false">
      <c r="A676" s="57" t="n">
        <v>46253</v>
      </c>
      <c r="B676" s="0" t="s">
        <v>767</v>
      </c>
      <c r="C676" s="0" t="s">
        <v>20</v>
      </c>
      <c r="D676" s="0" t="s">
        <v>68</v>
      </c>
      <c r="E676" s="58" t="str">
        <f aca="false">VLOOKUP(D676,Models!$A$2:$B$13,2,0)</f>
        <v>50-inch 4K TV</v>
      </c>
      <c r="F676" s="0" t="s">
        <v>103</v>
      </c>
      <c r="G676" s="58" t="str">
        <f aca="false">VLOOKUP(F676,Countries!$A$2:$B$11,2,0)</f>
        <v>Morocco</v>
      </c>
      <c r="H676" s="13" t="n">
        <v>28</v>
      </c>
      <c r="I676" s="13" t="n">
        <v>291200</v>
      </c>
      <c r="J676" s="0" t="s">
        <v>14</v>
      </c>
      <c r="K676" s="0" t="s">
        <v>753</v>
      </c>
    </row>
    <row r="677" customFormat="false" ht="12.8" hidden="false" customHeight="false" outlineLevel="0" collapsed="false">
      <c r="A677" s="57" t="n">
        <v>46253</v>
      </c>
      <c r="B677" s="0" t="s">
        <v>768</v>
      </c>
      <c r="C677" s="0" t="s">
        <v>21</v>
      </c>
      <c r="D677" s="0" t="s">
        <v>90</v>
      </c>
      <c r="E677" s="58" t="str">
        <f aca="false">VLOOKUP(D677,Models!$A$2:$B$13,2,0)</f>
        <v>55-inch 4K TV</v>
      </c>
      <c r="F677" s="0" t="s">
        <v>69</v>
      </c>
      <c r="G677" s="58" t="str">
        <f aca="false">VLOOKUP(F677,Countries!$A$2:$B$11,2,0)</f>
        <v>Egypt</v>
      </c>
      <c r="H677" s="13" t="n">
        <v>13</v>
      </c>
      <c r="I677" s="13" t="n">
        <v>159900</v>
      </c>
      <c r="J677" s="0" t="s">
        <v>14</v>
      </c>
      <c r="K677" s="0" t="s">
        <v>753</v>
      </c>
    </row>
    <row r="678" customFormat="false" ht="12.8" hidden="false" customHeight="false" outlineLevel="0" collapsed="false">
      <c r="A678" s="57" t="n">
        <v>46253</v>
      </c>
      <c r="B678" s="0" t="s">
        <v>769</v>
      </c>
      <c r="C678" s="0" t="s">
        <v>21</v>
      </c>
      <c r="D678" s="0" t="s">
        <v>64</v>
      </c>
      <c r="E678" s="58" t="str">
        <f aca="false">VLOOKUP(D678,Models!$A$2:$B$13,2,0)</f>
        <v>32-inch Smart TV</v>
      </c>
      <c r="F678" s="0" t="s">
        <v>83</v>
      </c>
      <c r="G678" s="58" t="str">
        <f aca="false">VLOOKUP(F678,Countries!$A$2:$B$11,2,0)</f>
        <v>United Arab Emirates</v>
      </c>
      <c r="H678" s="13" t="n">
        <v>30</v>
      </c>
      <c r="I678" s="13" t="n">
        <v>138000</v>
      </c>
      <c r="J678" s="0" t="s">
        <v>14</v>
      </c>
      <c r="K678" s="0" t="s">
        <v>753</v>
      </c>
    </row>
    <row r="679" customFormat="false" ht="12.8" hidden="false" customHeight="false" outlineLevel="0" collapsed="false">
      <c r="A679" s="57" t="n">
        <v>46254</v>
      </c>
      <c r="B679" s="0" t="s">
        <v>770</v>
      </c>
      <c r="C679" s="0" t="s">
        <v>13</v>
      </c>
      <c r="D679" s="0" t="s">
        <v>90</v>
      </c>
      <c r="E679" s="58" t="str">
        <f aca="false">VLOOKUP(D679,Models!$A$2:$B$13,2,0)</f>
        <v>55-inch 4K TV</v>
      </c>
      <c r="F679" s="0" t="s">
        <v>69</v>
      </c>
      <c r="G679" s="58" t="str">
        <f aca="false">VLOOKUP(F679,Countries!$A$2:$B$11,2,0)</f>
        <v>Egypt</v>
      </c>
      <c r="H679" s="13" t="n">
        <v>13</v>
      </c>
      <c r="I679" s="13" t="n">
        <v>159900</v>
      </c>
      <c r="J679" s="0" t="s">
        <v>14</v>
      </c>
      <c r="K679" s="0" t="s">
        <v>753</v>
      </c>
    </row>
    <row r="680" customFormat="false" ht="12.8" hidden="false" customHeight="false" outlineLevel="0" collapsed="false">
      <c r="A680" s="57" t="n">
        <v>46254</v>
      </c>
      <c r="B680" s="0" t="s">
        <v>771</v>
      </c>
      <c r="C680" s="0" t="s">
        <v>15</v>
      </c>
      <c r="D680" s="0" t="s">
        <v>77</v>
      </c>
      <c r="E680" s="58" t="str">
        <f aca="false">VLOOKUP(D680,Models!$A$2:$B$13,2,0)</f>
        <v>65-inch QLED TV</v>
      </c>
      <c r="F680" s="0" t="s">
        <v>69</v>
      </c>
      <c r="G680" s="58" t="str">
        <f aca="false">VLOOKUP(F680,Countries!$A$2:$B$11,2,0)</f>
        <v>Egypt</v>
      </c>
      <c r="H680" s="13" t="n">
        <v>9</v>
      </c>
      <c r="I680" s="13" t="n">
        <v>220500</v>
      </c>
      <c r="J680" s="0" t="s">
        <v>14</v>
      </c>
      <c r="K680" s="0" t="s">
        <v>753</v>
      </c>
    </row>
    <row r="681" customFormat="false" ht="12.8" hidden="false" customHeight="false" outlineLevel="0" collapsed="false">
      <c r="A681" s="57" t="n">
        <v>46254</v>
      </c>
      <c r="B681" s="0" t="s">
        <v>772</v>
      </c>
      <c r="C681" s="0" t="s">
        <v>17</v>
      </c>
      <c r="D681" s="0" t="s">
        <v>74</v>
      </c>
      <c r="E681" s="58" t="str">
        <f aca="false">VLOOKUP(D681,Models!$A$2:$B$13,2,0)</f>
        <v>40-inch Full HD TV</v>
      </c>
      <c r="F681" s="0" t="s">
        <v>69</v>
      </c>
      <c r="G681" s="58" t="str">
        <f aca="false">VLOOKUP(F681,Countries!$A$2:$B$11,2,0)</f>
        <v>Egypt</v>
      </c>
      <c r="H681" s="13" t="n">
        <v>28</v>
      </c>
      <c r="I681" s="13" t="n">
        <v>173600</v>
      </c>
      <c r="J681" s="0" t="s">
        <v>14</v>
      </c>
      <c r="K681" s="0" t="s">
        <v>753</v>
      </c>
    </row>
    <row r="682" customFormat="false" ht="12.8" hidden="false" customHeight="false" outlineLevel="0" collapsed="false">
      <c r="A682" s="57" t="n">
        <v>46254</v>
      </c>
      <c r="B682" s="0" t="s">
        <v>773</v>
      </c>
      <c r="C682" s="0" t="s">
        <v>17</v>
      </c>
      <c r="D682" s="0" t="s">
        <v>77</v>
      </c>
      <c r="E682" s="58" t="str">
        <f aca="false">VLOOKUP(D682,Models!$A$2:$B$13,2,0)</f>
        <v>65-inch QLED TV</v>
      </c>
      <c r="F682" s="0" t="s">
        <v>69</v>
      </c>
      <c r="G682" s="58" t="str">
        <f aca="false">VLOOKUP(F682,Countries!$A$2:$B$11,2,0)</f>
        <v>Egypt</v>
      </c>
      <c r="H682" s="13" t="n">
        <v>13</v>
      </c>
      <c r="I682" s="13" t="n">
        <v>318500</v>
      </c>
      <c r="J682" s="0" t="s">
        <v>14</v>
      </c>
      <c r="K682" s="0" t="s">
        <v>753</v>
      </c>
    </row>
    <row r="683" customFormat="false" ht="12.8" hidden="false" customHeight="false" outlineLevel="0" collapsed="false">
      <c r="A683" s="57" t="n">
        <v>46254</v>
      </c>
      <c r="B683" s="0" t="s">
        <v>774</v>
      </c>
      <c r="C683" s="0" t="s">
        <v>17</v>
      </c>
      <c r="D683" s="0" t="s">
        <v>77</v>
      </c>
      <c r="E683" s="58" t="str">
        <f aca="false">VLOOKUP(D683,Models!$A$2:$B$13,2,0)</f>
        <v>65-inch QLED TV</v>
      </c>
      <c r="F683" s="0" t="s">
        <v>69</v>
      </c>
      <c r="G683" s="58" t="str">
        <f aca="false">VLOOKUP(F683,Countries!$A$2:$B$11,2,0)</f>
        <v>Egypt</v>
      </c>
      <c r="H683" s="13" t="n">
        <v>18</v>
      </c>
      <c r="I683" s="13" t="n">
        <v>441000</v>
      </c>
      <c r="J683" s="0" t="s">
        <v>14</v>
      </c>
      <c r="K683" s="0" t="s">
        <v>753</v>
      </c>
    </row>
    <row r="684" customFormat="false" ht="12.8" hidden="false" customHeight="false" outlineLevel="0" collapsed="false">
      <c r="A684" s="57" t="n">
        <v>46254</v>
      </c>
      <c r="B684" s="0" t="s">
        <v>775</v>
      </c>
      <c r="C684" s="0" t="s">
        <v>17</v>
      </c>
      <c r="D684" s="0" t="s">
        <v>90</v>
      </c>
      <c r="E684" s="58" t="str">
        <f aca="false">VLOOKUP(D684,Models!$A$2:$B$13,2,0)</f>
        <v>55-inch 4K TV</v>
      </c>
      <c r="F684" s="0" t="s">
        <v>69</v>
      </c>
      <c r="G684" s="58" t="str">
        <f aca="false">VLOOKUP(F684,Countries!$A$2:$B$11,2,0)</f>
        <v>Egypt</v>
      </c>
      <c r="H684" s="13" t="n">
        <v>33</v>
      </c>
      <c r="I684" s="13" t="n">
        <v>405900</v>
      </c>
      <c r="J684" s="0" t="s">
        <v>14</v>
      </c>
      <c r="K684" s="0" t="s">
        <v>753</v>
      </c>
    </row>
    <row r="685" customFormat="false" ht="12.8" hidden="false" customHeight="false" outlineLevel="0" collapsed="false">
      <c r="A685" s="57" t="n">
        <v>46254</v>
      </c>
      <c r="B685" s="0" t="s">
        <v>776</v>
      </c>
      <c r="C685" s="0" t="s">
        <v>19</v>
      </c>
      <c r="D685" s="0" t="s">
        <v>77</v>
      </c>
      <c r="E685" s="58" t="str">
        <f aca="false">VLOOKUP(D685,Models!$A$2:$B$13,2,0)</f>
        <v>65-inch QLED TV</v>
      </c>
      <c r="F685" s="0" t="s">
        <v>69</v>
      </c>
      <c r="G685" s="58" t="str">
        <f aca="false">VLOOKUP(F685,Countries!$A$2:$B$11,2,0)</f>
        <v>Egypt</v>
      </c>
      <c r="H685" s="13" t="n">
        <v>7</v>
      </c>
      <c r="I685" s="13" t="n">
        <v>171500</v>
      </c>
      <c r="J685" s="0" t="s">
        <v>14</v>
      </c>
      <c r="K685" s="0" t="s">
        <v>753</v>
      </c>
    </row>
    <row r="686" customFormat="false" ht="12.8" hidden="false" customHeight="false" outlineLevel="0" collapsed="false">
      <c r="A686" s="57" t="n">
        <v>46254</v>
      </c>
      <c r="B686" s="0" t="s">
        <v>777</v>
      </c>
      <c r="C686" s="0" t="s">
        <v>19</v>
      </c>
      <c r="D686" s="0" t="s">
        <v>77</v>
      </c>
      <c r="E686" s="58" t="str">
        <f aca="false">VLOOKUP(D686,Models!$A$2:$B$13,2,0)</f>
        <v>65-inch QLED TV</v>
      </c>
      <c r="F686" s="0" t="s">
        <v>69</v>
      </c>
      <c r="G686" s="58" t="str">
        <f aca="false">VLOOKUP(F686,Countries!$A$2:$B$11,2,0)</f>
        <v>Egypt</v>
      </c>
      <c r="H686" s="13" t="n">
        <v>6</v>
      </c>
      <c r="I686" s="13" t="n">
        <v>147000</v>
      </c>
      <c r="J686" s="0" t="s">
        <v>14</v>
      </c>
      <c r="K686" s="0" t="s">
        <v>753</v>
      </c>
    </row>
    <row r="687" customFormat="false" ht="12.8" hidden="false" customHeight="false" outlineLevel="0" collapsed="false">
      <c r="A687" s="57" t="n">
        <v>46254</v>
      </c>
      <c r="B687" s="0" t="s">
        <v>778</v>
      </c>
      <c r="C687" s="0" t="s">
        <v>19</v>
      </c>
      <c r="D687" s="0" t="s">
        <v>71</v>
      </c>
      <c r="E687" s="58" t="str">
        <f aca="false">VLOOKUP(D687,Models!$A$2:$B$13,2,0)</f>
        <v>43-inch Full HD TV</v>
      </c>
      <c r="F687" s="0" t="s">
        <v>69</v>
      </c>
      <c r="G687" s="58" t="str">
        <f aca="false">VLOOKUP(F687,Countries!$A$2:$B$11,2,0)</f>
        <v>Egypt</v>
      </c>
      <c r="H687" s="13" t="n">
        <v>35</v>
      </c>
      <c r="I687" s="13" t="n">
        <v>241500</v>
      </c>
      <c r="J687" s="0" t="s">
        <v>14</v>
      </c>
      <c r="K687" s="0" t="s">
        <v>753</v>
      </c>
    </row>
    <row r="688" customFormat="false" ht="12.8" hidden="false" customHeight="false" outlineLevel="0" collapsed="false">
      <c r="A688" s="57" t="n">
        <v>46254</v>
      </c>
      <c r="B688" s="0" t="s">
        <v>779</v>
      </c>
      <c r="C688" s="0" t="s">
        <v>20</v>
      </c>
      <c r="D688" s="0" t="s">
        <v>85</v>
      </c>
      <c r="E688" s="58" t="str">
        <f aca="false">VLOOKUP(D688,Models!$A$2:$B$13,2,0)</f>
        <v>75-inch 4K TV</v>
      </c>
      <c r="F688" s="0" t="s">
        <v>69</v>
      </c>
      <c r="G688" s="58" t="str">
        <f aca="false">VLOOKUP(F688,Countries!$A$2:$B$11,2,0)</f>
        <v>Egypt</v>
      </c>
      <c r="H688" s="13" t="n">
        <v>7</v>
      </c>
      <c r="I688" s="13" t="n">
        <v>218400</v>
      </c>
      <c r="J688" s="0" t="s">
        <v>14</v>
      </c>
      <c r="K688" s="0" t="s">
        <v>753</v>
      </c>
    </row>
    <row r="689" customFormat="false" ht="12.8" hidden="false" customHeight="false" outlineLevel="0" collapsed="false">
      <c r="A689" s="57" t="n">
        <v>46254</v>
      </c>
      <c r="B689" s="0" t="s">
        <v>780</v>
      </c>
      <c r="C689" s="0" t="s">
        <v>21</v>
      </c>
      <c r="D689" s="0" t="s">
        <v>88</v>
      </c>
      <c r="E689" s="58" t="str">
        <f aca="false">VLOOKUP(D689,Models!$A$2:$B$13,2,0)</f>
        <v>24-inch HD TV</v>
      </c>
      <c r="F689" s="0" t="s">
        <v>69</v>
      </c>
      <c r="G689" s="58" t="str">
        <f aca="false">VLOOKUP(F689,Countries!$A$2:$B$11,2,0)</f>
        <v>Egypt</v>
      </c>
      <c r="H689" s="13" t="n">
        <v>48</v>
      </c>
      <c r="I689" s="13" t="n">
        <v>139200</v>
      </c>
      <c r="J689" s="0" t="s">
        <v>14</v>
      </c>
      <c r="K689" s="0" t="s">
        <v>753</v>
      </c>
    </row>
    <row r="690" customFormat="false" ht="12.8" hidden="false" customHeight="false" outlineLevel="0" collapsed="false">
      <c r="A690" s="57" t="n">
        <v>46254</v>
      </c>
      <c r="B690" s="0" t="s">
        <v>781</v>
      </c>
      <c r="C690" s="0" t="s">
        <v>21</v>
      </c>
      <c r="D690" s="0" t="s">
        <v>68</v>
      </c>
      <c r="E690" s="58" t="str">
        <f aca="false">VLOOKUP(D690,Models!$A$2:$B$13,2,0)</f>
        <v>50-inch 4K TV</v>
      </c>
      <c r="F690" s="0" t="s">
        <v>69</v>
      </c>
      <c r="G690" s="58" t="str">
        <f aca="false">VLOOKUP(F690,Countries!$A$2:$B$11,2,0)</f>
        <v>Egypt</v>
      </c>
      <c r="H690" s="13" t="n">
        <v>20</v>
      </c>
      <c r="I690" s="13" t="n">
        <v>208000</v>
      </c>
      <c r="J690" s="0" t="s">
        <v>14</v>
      </c>
      <c r="K690" s="0" t="s">
        <v>753</v>
      </c>
    </row>
    <row r="691" customFormat="false" ht="12.8" hidden="false" customHeight="false" outlineLevel="0" collapsed="false">
      <c r="A691" s="57" t="n">
        <v>46256</v>
      </c>
      <c r="B691" s="0" t="s">
        <v>782</v>
      </c>
      <c r="C691" s="0" t="s">
        <v>13</v>
      </c>
      <c r="D691" s="0" t="s">
        <v>85</v>
      </c>
      <c r="E691" s="58" t="str">
        <f aca="false">VLOOKUP(D691,Models!$A$2:$B$13,2,0)</f>
        <v>75-inch 4K TV</v>
      </c>
      <c r="F691" s="0" t="s">
        <v>69</v>
      </c>
      <c r="G691" s="58" t="str">
        <f aca="false">VLOOKUP(F691,Countries!$A$2:$B$11,2,0)</f>
        <v>Egypt</v>
      </c>
      <c r="H691" s="13" t="n">
        <v>5</v>
      </c>
      <c r="I691" s="13" t="n">
        <v>156000</v>
      </c>
      <c r="J691" s="0" t="s">
        <v>14</v>
      </c>
      <c r="K691" s="0" t="s">
        <v>753</v>
      </c>
    </row>
    <row r="692" customFormat="false" ht="12.8" hidden="false" customHeight="false" outlineLevel="0" collapsed="false">
      <c r="A692" s="57" t="n">
        <v>46256</v>
      </c>
      <c r="B692" s="0" t="s">
        <v>783</v>
      </c>
      <c r="C692" s="0" t="s">
        <v>13</v>
      </c>
      <c r="D692" s="0" t="s">
        <v>88</v>
      </c>
      <c r="E692" s="58" t="str">
        <f aca="false">VLOOKUP(D692,Models!$A$2:$B$13,2,0)</f>
        <v>24-inch HD TV</v>
      </c>
      <c r="F692" s="0" t="s">
        <v>69</v>
      </c>
      <c r="G692" s="58" t="str">
        <f aca="false">VLOOKUP(F692,Countries!$A$2:$B$11,2,0)</f>
        <v>Egypt</v>
      </c>
      <c r="H692" s="13" t="n">
        <v>11</v>
      </c>
      <c r="I692" s="13" t="n">
        <v>31900</v>
      </c>
      <c r="J692" s="0" t="s">
        <v>14</v>
      </c>
      <c r="K692" s="0" t="s">
        <v>753</v>
      </c>
    </row>
    <row r="693" customFormat="false" ht="12.8" hidden="false" customHeight="false" outlineLevel="0" collapsed="false">
      <c r="A693" s="57" t="n">
        <v>46256</v>
      </c>
      <c r="B693" s="0" t="s">
        <v>784</v>
      </c>
      <c r="C693" s="0" t="s">
        <v>15</v>
      </c>
      <c r="D693" s="0" t="s">
        <v>68</v>
      </c>
      <c r="E693" s="58" t="str">
        <f aca="false">VLOOKUP(D693,Models!$A$2:$B$13,2,0)</f>
        <v>50-inch 4K TV</v>
      </c>
      <c r="F693" s="0" t="s">
        <v>79</v>
      </c>
      <c r="G693" s="58" t="str">
        <f aca="false">VLOOKUP(F693,Countries!$A$2:$B$11,2,0)</f>
        <v>Iraq</v>
      </c>
      <c r="H693" s="13" t="n">
        <v>18</v>
      </c>
      <c r="I693" s="13" t="n">
        <v>187200</v>
      </c>
      <c r="J693" s="0" t="s">
        <v>14</v>
      </c>
      <c r="K693" s="0" t="s">
        <v>753</v>
      </c>
    </row>
    <row r="694" customFormat="false" ht="12.8" hidden="false" customHeight="false" outlineLevel="0" collapsed="false">
      <c r="A694" s="57" t="n">
        <v>46256</v>
      </c>
      <c r="B694" s="0" t="s">
        <v>785</v>
      </c>
      <c r="C694" s="0" t="s">
        <v>15</v>
      </c>
      <c r="D694" s="0" t="s">
        <v>68</v>
      </c>
      <c r="E694" s="58" t="str">
        <f aca="false">VLOOKUP(D694,Models!$A$2:$B$13,2,0)</f>
        <v>50-inch 4K TV</v>
      </c>
      <c r="F694" s="0" t="s">
        <v>69</v>
      </c>
      <c r="G694" s="58" t="str">
        <f aca="false">VLOOKUP(F694,Countries!$A$2:$B$11,2,0)</f>
        <v>Egypt</v>
      </c>
      <c r="H694" s="13" t="n">
        <v>24</v>
      </c>
      <c r="I694" s="13" t="n">
        <v>249600</v>
      </c>
      <c r="J694" s="0" t="s">
        <v>14</v>
      </c>
      <c r="K694" s="0" t="s">
        <v>753</v>
      </c>
    </row>
    <row r="695" customFormat="false" ht="12.8" hidden="false" customHeight="false" outlineLevel="0" collapsed="false">
      <c r="A695" s="57" t="n">
        <v>46256</v>
      </c>
      <c r="B695" s="0" t="s">
        <v>786</v>
      </c>
      <c r="C695" s="0" t="s">
        <v>15</v>
      </c>
      <c r="D695" s="0" t="s">
        <v>64</v>
      </c>
      <c r="E695" s="58" t="str">
        <f aca="false">VLOOKUP(D695,Models!$A$2:$B$13,2,0)</f>
        <v>32-inch Smart TV</v>
      </c>
      <c r="F695" s="0" t="s">
        <v>69</v>
      </c>
      <c r="G695" s="58" t="str">
        <f aca="false">VLOOKUP(F695,Countries!$A$2:$B$11,2,0)</f>
        <v>Egypt</v>
      </c>
      <c r="H695" s="13" t="n">
        <v>51</v>
      </c>
      <c r="I695" s="13" t="n">
        <v>234600</v>
      </c>
      <c r="J695" s="0" t="s">
        <v>14</v>
      </c>
      <c r="K695" s="0" t="s">
        <v>753</v>
      </c>
    </row>
    <row r="696" customFormat="false" ht="12.8" hidden="false" customHeight="false" outlineLevel="0" collapsed="false">
      <c r="A696" s="57" t="n">
        <v>46256</v>
      </c>
      <c r="B696" s="0" t="s">
        <v>787</v>
      </c>
      <c r="C696" s="0" t="s">
        <v>15</v>
      </c>
      <c r="D696" s="0" t="s">
        <v>77</v>
      </c>
      <c r="E696" s="58" t="str">
        <f aca="false">VLOOKUP(D696,Models!$A$2:$B$13,2,0)</f>
        <v>65-inch QLED TV</v>
      </c>
      <c r="F696" s="0" t="s">
        <v>83</v>
      </c>
      <c r="G696" s="58" t="str">
        <f aca="false">VLOOKUP(F696,Countries!$A$2:$B$11,2,0)</f>
        <v>United Arab Emirates</v>
      </c>
      <c r="H696" s="13" t="n">
        <v>19</v>
      </c>
      <c r="I696" s="13" t="n">
        <v>465500</v>
      </c>
      <c r="J696" s="0" t="s">
        <v>14</v>
      </c>
      <c r="K696" s="0" t="s">
        <v>753</v>
      </c>
    </row>
    <row r="697" customFormat="false" ht="12.8" hidden="false" customHeight="false" outlineLevel="0" collapsed="false">
      <c r="A697" s="57" t="n">
        <v>46256</v>
      </c>
      <c r="B697" s="0" t="s">
        <v>788</v>
      </c>
      <c r="C697" s="0" t="s">
        <v>15</v>
      </c>
      <c r="D697" s="0" t="s">
        <v>77</v>
      </c>
      <c r="E697" s="58" t="str">
        <f aca="false">VLOOKUP(D697,Models!$A$2:$B$13,2,0)</f>
        <v>65-inch QLED TV</v>
      </c>
      <c r="F697" s="0" t="s">
        <v>69</v>
      </c>
      <c r="G697" s="58" t="str">
        <f aca="false">VLOOKUP(F697,Countries!$A$2:$B$11,2,0)</f>
        <v>Egypt</v>
      </c>
      <c r="H697" s="13" t="n">
        <v>16</v>
      </c>
      <c r="I697" s="13" t="n">
        <v>392000</v>
      </c>
      <c r="J697" s="0" t="s">
        <v>14</v>
      </c>
      <c r="K697" s="0" t="s">
        <v>753</v>
      </c>
    </row>
    <row r="698" customFormat="false" ht="12.8" hidden="false" customHeight="false" outlineLevel="0" collapsed="false">
      <c r="A698" s="57" t="n">
        <v>46256</v>
      </c>
      <c r="B698" s="0" t="s">
        <v>789</v>
      </c>
      <c r="C698" s="0" t="s">
        <v>17</v>
      </c>
      <c r="D698" s="0" t="s">
        <v>90</v>
      </c>
      <c r="E698" s="58" t="str">
        <f aca="false">VLOOKUP(D698,Models!$A$2:$B$13,2,0)</f>
        <v>55-inch 4K TV</v>
      </c>
      <c r="F698" s="0" t="s">
        <v>69</v>
      </c>
      <c r="G698" s="58" t="str">
        <f aca="false">VLOOKUP(F698,Countries!$A$2:$B$11,2,0)</f>
        <v>Egypt</v>
      </c>
      <c r="H698" s="13" t="n">
        <v>27</v>
      </c>
      <c r="I698" s="13" t="n">
        <v>332100</v>
      </c>
      <c r="J698" s="0" t="s">
        <v>14</v>
      </c>
      <c r="K698" s="0" t="s">
        <v>753</v>
      </c>
    </row>
    <row r="699" customFormat="false" ht="12.8" hidden="false" customHeight="false" outlineLevel="0" collapsed="false">
      <c r="A699" s="57" t="n">
        <v>46256</v>
      </c>
      <c r="B699" s="0" t="s">
        <v>790</v>
      </c>
      <c r="C699" s="0" t="s">
        <v>17</v>
      </c>
      <c r="D699" s="0" t="s">
        <v>88</v>
      </c>
      <c r="E699" s="58" t="str">
        <f aca="false">VLOOKUP(D699,Models!$A$2:$B$13,2,0)</f>
        <v>24-inch HD TV</v>
      </c>
      <c r="F699" s="0" t="s">
        <v>69</v>
      </c>
      <c r="G699" s="58" t="str">
        <f aca="false">VLOOKUP(F699,Countries!$A$2:$B$11,2,0)</f>
        <v>Egypt</v>
      </c>
      <c r="H699" s="13" t="n">
        <v>14</v>
      </c>
      <c r="I699" s="13" t="n">
        <v>40600</v>
      </c>
      <c r="J699" s="0" t="s">
        <v>14</v>
      </c>
      <c r="K699" s="0" t="s">
        <v>753</v>
      </c>
    </row>
    <row r="700" customFormat="false" ht="12.8" hidden="false" customHeight="false" outlineLevel="0" collapsed="false">
      <c r="A700" s="57" t="n">
        <v>46256</v>
      </c>
      <c r="B700" s="0" t="s">
        <v>791</v>
      </c>
      <c r="C700" s="0" t="s">
        <v>17</v>
      </c>
      <c r="D700" s="0" t="s">
        <v>71</v>
      </c>
      <c r="E700" s="58" t="str">
        <f aca="false">VLOOKUP(D700,Models!$A$2:$B$13,2,0)</f>
        <v>43-inch Full HD TV</v>
      </c>
      <c r="F700" s="0" t="s">
        <v>69</v>
      </c>
      <c r="G700" s="58" t="str">
        <f aca="false">VLOOKUP(F700,Countries!$A$2:$B$11,2,0)</f>
        <v>Egypt</v>
      </c>
      <c r="H700" s="13" t="n">
        <v>44</v>
      </c>
      <c r="I700" s="13" t="n">
        <v>303600</v>
      </c>
      <c r="J700" s="0" t="s">
        <v>14</v>
      </c>
      <c r="K700" s="0" t="s">
        <v>753</v>
      </c>
    </row>
    <row r="701" customFormat="false" ht="12.8" hidden="false" customHeight="false" outlineLevel="0" collapsed="false">
      <c r="A701" s="57" t="n">
        <v>46256</v>
      </c>
      <c r="B701" s="0" t="s">
        <v>792</v>
      </c>
      <c r="C701" s="0" t="s">
        <v>19</v>
      </c>
      <c r="D701" s="0" t="s">
        <v>74</v>
      </c>
      <c r="E701" s="58" t="str">
        <f aca="false">VLOOKUP(D701,Models!$A$2:$B$13,2,0)</f>
        <v>40-inch Full HD TV</v>
      </c>
      <c r="F701" s="0" t="s">
        <v>65</v>
      </c>
      <c r="G701" s="58" t="str">
        <f aca="false">VLOOKUP(F701,Countries!$A$2:$B$11,2,0)</f>
        <v>Jordan</v>
      </c>
      <c r="H701" s="13" t="n">
        <v>34</v>
      </c>
      <c r="I701" s="13" t="n">
        <v>210800</v>
      </c>
      <c r="J701" s="0" t="s">
        <v>14</v>
      </c>
      <c r="K701" s="0" t="s">
        <v>753</v>
      </c>
    </row>
    <row r="702" customFormat="false" ht="12.8" hidden="false" customHeight="false" outlineLevel="0" collapsed="false">
      <c r="A702" s="57" t="n">
        <v>46256</v>
      </c>
      <c r="B702" s="0" t="s">
        <v>793</v>
      </c>
      <c r="C702" s="0" t="s">
        <v>19</v>
      </c>
      <c r="D702" s="0" t="s">
        <v>74</v>
      </c>
      <c r="E702" s="58" t="str">
        <f aca="false">VLOOKUP(D702,Models!$A$2:$B$13,2,0)</f>
        <v>40-inch Full HD TV</v>
      </c>
      <c r="F702" s="0" t="s">
        <v>69</v>
      </c>
      <c r="G702" s="58" t="str">
        <f aca="false">VLOOKUP(F702,Countries!$A$2:$B$11,2,0)</f>
        <v>Egypt</v>
      </c>
      <c r="H702" s="13" t="n">
        <v>14</v>
      </c>
      <c r="I702" s="13" t="n">
        <v>86800</v>
      </c>
      <c r="J702" s="0" t="s">
        <v>14</v>
      </c>
      <c r="K702" s="0" t="s">
        <v>753</v>
      </c>
    </row>
    <row r="703" customFormat="false" ht="12.8" hidden="false" customHeight="false" outlineLevel="0" collapsed="false">
      <c r="A703" s="57" t="n">
        <v>46256</v>
      </c>
      <c r="B703" s="0" t="s">
        <v>794</v>
      </c>
      <c r="C703" s="0" t="s">
        <v>19</v>
      </c>
      <c r="D703" s="0" t="s">
        <v>92</v>
      </c>
      <c r="E703" s="58" t="str">
        <f aca="false">VLOOKUP(D703,Models!$A$2:$B$13,2,0)</f>
        <v>65-inch 4K TV</v>
      </c>
      <c r="F703" s="0" t="s">
        <v>75</v>
      </c>
      <c r="G703" s="58" t="str">
        <f aca="false">VLOOKUP(F703,Countries!$A$2:$B$11,2,0)</f>
        <v>Nigeria</v>
      </c>
      <c r="H703" s="13" t="n">
        <v>13</v>
      </c>
      <c r="I703" s="13" t="n">
        <v>257400</v>
      </c>
      <c r="J703" s="0" t="s">
        <v>14</v>
      </c>
      <c r="K703" s="0" t="s">
        <v>753</v>
      </c>
    </row>
    <row r="704" customFormat="false" ht="12.8" hidden="false" customHeight="false" outlineLevel="0" collapsed="false">
      <c r="A704" s="57" t="n">
        <v>46256</v>
      </c>
      <c r="B704" s="0" t="s">
        <v>795</v>
      </c>
      <c r="C704" s="0" t="s">
        <v>20</v>
      </c>
      <c r="D704" s="0" t="s">
        <v>77</v>
      </c>
      <c r="E704" s="58" t="str">
        <f aca="false">VLOOKUP(D704,Models!$A$2:$B$13,2,0)</f>
        <v>65-inch QLED TV</v>
      </c>
      <c r="F704" s="0" t="s">
        <v>69</v>
      </c>
      <c r="G704" s="58" t="str">
        <f aca="false">VLOOKUP(F704,Countries!$A$2:$B$11,2,0)</f>
        <v>Egypt</v>
      </c>
      <c r="H704" s="13" t="n">
        <v>17</v>
      </c>
      <c r="I704" s="13" t="n">
        <v>416500</v>
      </c>
      <c r="J704" s="0" t="s">
        <v>14</v>
      </c>
      <c r="K704" s="0" t="s">
        <v>753</v>
      </c>
    </row>
    <row r="705" customFormat="false" ht="12.8" hidden="false" customHeight="false" outlineLevel="0" collapsed="false">
      <c r="A705" s="57" t="n">
        <v>46256</v>
      </c>
      <c r="B705" s="0" t="s">
        <v>796</v>
      </c>
      <c r="C705" s="0" t="s">
        <v>20</v>
      </c>
      <c r="D705" s="0" t="s">
        <v>95</v>
      </c>
      <c r="E705" s="58" t="str">
        <f aca="false">VLOOKUP(D705,Models!$A$2:$B$13,2,0)</f>
        <v>32-inch HD TV</v>
      </c>
      <c r="F705" s="0" t="s">
        <v>75</v>
      </c>
      <c r="G705" s="58" t="str">
        <f aca="false">VLOOKUP(F705,Countries!$A$2:$B$11,2,0)</f>
        <v>Nigeria</v>
      </c>
      <c r="H705" s="13" t="n">
        <v>39</v>
      </c>
      <c r="I705" s="13" t="n">
        <v>152100</v>
      </c>
      <c r="J705" s="0" t="s">
        <v>14</v>
      </c>
      <c r="K705" s="0" t="s">
        <v>753</v>
      </c>
    </row>
    <row r="706" customFormat="false" ht="12.8" hidden="false" customHeight="false" outlineLevel="0" collapsed="false">
      <c r="A706" s="57" t="n">
        <v>46256</v>
      </c>
      <c r="B706" s="0" t="s">
        <v>797</v>
      </c>
      <c r="C706" s="0" t="s">
        <v>20</v>
      </c>
      <c r="D706" s="0" t="s">
        <v>68</v>
      </c>
      <c r="E706" s="58" t="str">
        <f aca="false">VLOOKUP(D706,Models!$A$2:$B$13,2,0)</f>
        <v>50-inch 4K TV</v>
      </c>
      <c r="F706" s="0" t="s">
        <v>103</v>
      </c>
      <c r="G706" s="58" t="str">
        <f aca="false">VLOOKUP(F706,Countries!$A$2:$B$11,2,0)</f>
        <v>Morocco</v>
      </c>
      <c r="H706" s="13" t="n">
        <v>18</v>
      </c>
      <c r="I706" s="13" t="n">
        <v>187200</v>
      </c>
      <c r="J706" s="0" t="s">
        <v>14</v>
      </c>
      <c r="K706" s="0" t="s">
        <v>753</v>
      </c>
    </row>
    <row r="707" customFormat="false" ht="12.8" hidden="false" customHeight="false" outlineLevel="0" collapsed="false">
      <c r="A707" s="57" t="n">
        <v>46256</v>
      </c>
      <c r="B707" s="0" t="s">
        <v>798</v>
      </c>
      <c r="C707" s="0" t="s">
        <v>20</v>
      </c>
      <c r="D707" s="0" t="s">
        <v>74</v>
      </c>
      <c r="E707" s="58" t="str">
        <f aca="false">VLOOKUP(D707,Models!$A$2:$B$13,2,0)</f>
        <v>40-inch Full HD TV</v>
      </c>
      <c r="F707" s="0" t="s">
        <v>83</v>
      </c>
      <c r="G707" s="58" t="str">
        <f aca="false">VLOOKUP(F707,Countries!$A$2:$B$11,2,0)</f>
        <v>United Arab Emirates</v>
      </c>
      <c r="H707" s="13" t="n">
        <v>40</v>
      </c>
      <c r="I707" s="13" t="n">
        <v>248000</v>
      </c>
      <c r="J707" s="0" t="s">
        <v>14</v>
      </c>
      <c r="K707" s="0" t="s">
        <v>753</v>
      </c>
    </row>
    <row r="708" customFormat="false" ht="12.8" hidden="false" customHeight="false" outlineLevel="0" collapsed="false">
      <c r="A708" s="57" t="n">
        <v>46256</v>
      </c>
      <c r="B708" s="0" t="s">
        <v>799</v>
      </c>
      <c r="C708" s="0" t="s">
        <v>21</v>
      </c>
      <c r="D708" s="0" t="s">
        <v>71</v>
      </c>
      <c r="E708" s="58" t="str">
        <f aca="false">VLOOKUP(D708,Models!$A$2:$B$13,2,0)</f>
        <v>43-inch Full HD TV</v>
      </c>
      <c r="F708" s="0" t="s">
        <v>69</v>
      </c>
      <c r="G708" s="58" t="str">
        <f aca="false">VLOOKUP(F708,Countries!$A$2:$B$11,2,0)</f>
        <v>Egypt</v>
      </c>
      <c r="H708" s="13" t="n">
        <v>22</v>
      </c>
      <c r="I708" s="13" t="n">
        <v>151800</v>
      </c>
      <c r="J708" s="0" t="s">
        <v>14</v>
      </c>
      <c r="K708" s="0" t="s">
        <v>753</v>
      </c>
    </row>
    <row r="709" customFormat="false" ht="12.8" hidden="false" customHeight="false" outlineLevel="0" collapsed="false">
      <c r="A709" s="57" t="n">
        <v>46256</v>
      </c>
      <c r="B709" s="0" t="s">
        <v>800</v>
      </c>
      <c r="C709" s="0" t="s">
        <v>21</v>
      </c>
      <c r="D709" s="0" t="s">
        <v>81</v>
      </c>
      <c r="E709" s="58" t="str">
        <f aca="false">VLOOKUP(D709,Models!$A$2:$B$13,2,0)</f>
        <v>43-inch Smart TV</v>
      </c>
      <c r="F709" s="0" t="s">
        <v>83</v>
      </c>
      <c r="G709" s="58" t="str">
        <f aca="false">VLOOKUP(F709,Countries!$A$2:$B$11,2,0)</f>
        <v>United Arab Emirates</v>
      </c>
      <c r="H709" s="13" t="n">
        <v>26</v>
      </c>
      <c r="I709" s="13" t="n">
        <v>202800</v>
      </c>
      <c r="J709" s="0" t="s">
        <v>14</v>
      </c>
      <c r="K709" s="0" t="s">
        <v>753</v>
      </c>
    </row>
    <row r="710" customFormat="false" ht="12.8" hidden="false" customHeight="false" outlineLevel="0" collapsed="false">
      <c r="A710" s="57" t="n">
        <v>46256</v>
      </c>
      <c r="B710" s="0" t="s">
        <v>801</v>
      </c>
      <c r="C710" s="0" t="s">
        <v>21</v>
      </c>
      <c r="D710" s="0" t="s">
        <v>95</v>
      </c>
      <c r="E710" s="58" t="str">
        <f aca="false">VLOOKUP(D710,Models!$A$2:$B$13,2,0)</f>
        <v>32-inch HD TV</v>
      </c>
      <c r="F710" s="0" t="s">
        <v>69</v>
      </c>
      <c r="G710" s="58" t="str">
        <f aca="false">VLOOKUP(F710,Countries!$A$2:$B$11,2,0)</f>
        <v>Egypt</v>
      </c>
      <c r="H710" s="13" t="n">
        <v>26</v>
      </c>
      <c r="I710" s="13" t="n">
        <v>101400</v>
      </c>
      <c r="J710" s="0" t="s">
        <v>14</v>
      </c>
      <c r="K710" s="0" t="s">
        <v>753</v>
      </c>
    </row>
    <row r="711" customFormat="false" ht="12.8" hidden="false" customHeight="false" outlineLevel="0" collapsed="false">
      <c r="A711" s="57" t="n">
        <v>46257</v>
      </c>
      <c r="B711" s="0" t="s">
        <v>802</v>
      </c>
      <c r="C711" s="0" t="s">
        <v>13</v>
      </c>
      <c r="D711" s="0" t="s">
        <v>88</v>
      </c>
      <c r="E711" s="58" t="str">
        <f aca="false">VLOOKUP(D711,Models!$A$2:$B$13,2,0)</f>
        <v>24-inch HD TV</v>
      </c>
      <c r="F711" s="0" t="s">
        <v>69</v>
      </c>
      <c r="G711" s="58" t="str">
        <f aca="false">VLOOKUP(F711,Countries!$A$2:$B$11,2,0)</f>
        <v>Egypt</v>
      </c>
      <c r="H711" s="13" t="n">
        <v>31</v>
      </c>
      <c r="I711" s="13" t="n">
        <v>89900</v>
      </c>
      <c r="J711" s="0" t="s">
        <v>14</v>
      </c>
      <c r="K711" s="0" t="s">
        <v>753</v>
      </c>
    </row>
    <row r="712" customFormat="false" ht="12.8" hidden="false" customHeight="false" outlineLevel="0" collapsed="false">
      <c r="A712" s="57" t="n">
        <v>46257</v>
      </c>
      <c r="B712" s="0" t="s">
        <v>803</v>
      </c>
      <c r="C712" s="0" t="s">
        <v>13</v>
      </c>
      <c r="D712" s="0" t="s">
        <v>95</v>
      </c>
      <c r="E712" s="58" t="str">
        <f aca="false">VLOOKUP(D712,Models!$A$2:$B$13,2,0)</f>
        <v>32-inch HD TV</v>
      </c>
      <c r="F712" s="0" t="s">
        <v>103</v>
      </c>
      <c r="G712" s="58" t="str">
        <f aca="false">VLOOKUP(F712,Countries!$A$2:$B$11,2,0)</f>
        <v>Morocco</v>
      </c>
      <c r="H712" s="13" t="n">
        <v>22</v>
      </c>
      <c r="I712" s="13" t="n">
        <v>85800</v>
      </c>
      <c r="J712" s="0" t="s">
        <v>14</v>
      </c>
      <c r="K712" s="0" t="s">
        <v>753</v>
      </c>
    </row>
    <row r="713" customFormat="false" ht="12.8" hidden="false" customHeight="false" outlineLevel="0" collapsed="false">
      <c r="A713" s="57" t="n">
        <v>46257</v>
      </c>
      <c r="B713" s="0" t="s">
        <v>804</v>
      </c>
      <c r="C713" s="0" t="s">
        <v>13</v>
      </c>
      <c r="D713" s="0" t="s">
        <v>92</v>
      </c>
      <c r="E713" s="58" t="str">
        <f aca="false">VLOOKUP(D713,Models!$A$2:$B$13,2,0)</f>
        <v>65-inch 4K TV</v>
      </c>
      <c r="F713" s="0" t="s">
        <v>177</v>
      </c>
      <c r="G713" s="58" t="str">
        <f aca="false">VLOOKUP(F713,Countries!$A$2:$B$11,2,0)</f>
        <v>Saudi Arabia</v>
      </c>
      <c r="H713" s="13" t="n">
        <v>11</v>
      </c>
      <c r="I713" s="13" t="n">
        <v>217800</v>
      </c>
      <c r="J713" s="0" t="s">
        <v>14</v>
      </c>
      <c r="K713" s="0" t="s">
        <v>753</v>
      </c>
    </row>
    <row r="714" customFormat="false" ht="12.8" hidden="false" customHeight="false" outlineLevel="0" collapsed="false">
      <c r="A714" s="57" t="n">
        <v>46257</v>
      </c>
      <c r="B714" s="0" t="s">
        <v>805</v>
      </c>
      <c r="C714" s="0" t="s">
        <v>13</v>
      </c>
      <c r="D714" s="0" t="s">
        <v>77</v>
      </c>
      <c r="E714" s="58" t="str">
        <f aca="false">VLOOKUP(D714,Models!$A$2:$B$13,2,0)</f>
        <v>65-inch QLED TV</v>
      </c>
      <c r="F714" s="0" t="s">
        <v>177</v>
      </c>
      <c r="G714" s="58" t="str">
        <f aca="false">VLOOKUP(F714,Countries!$A$2:$B$11,2,0)</f>
        <v>Saudi Arabia</v>
      </c>
      <c r="H714" s="13" t="n">
        <v>5</v>
      </c>
      <c r="I714" s="13" t="n">
        <v>122500</v>
      </c>
      <c r="J714" s="0" t="s">
        <v>14</v>
      </c>
      <c r="K714" s="0" t="s">
        <v>753</v>
      </c>
    </row>
    <row r="715" customFormat="false" ht="12.8" hidden="false" customHeight="false" outlineLevel="0" collapsed="false">
      <c r="A715" s="57" t="n">
        <v>46257</v>
      </c>
      <c r="B715" s="0" t="s">
        <v>806</v>
      </c>
      <c r="C715" s="0" t="s">
        <v>13</v>
      </c>
      <c r="D715" s="0" t="s">
        <v>109</v>
      </c>
      <c r="E715" s="58" t="str">
        <f aca="false">VLOOKUP(D715,Models!$A$2:$B$13,2,0)</f>
        <v>55-inch QLED TV</v>
      </c>
      <c r="F715" s="0" t="s">
        <v>69</v>
      </c>
      <c r="G715" s="58" t="str">
        <f aca="false">VLOOKUP(F715,Countries!$A$2:$B$11,2,0)</f>
        <v>Egypt</v>
      </c>
      <c r="H715" s="13" t="n">
        <v>14</v>
      </c>
      <c r="I715" s="13" t="n">
        <v>218400</v>
      </c>
      <c r="J715" s="0" t="s">
        <v>14</v>
      </c>
      <c r="K715" s="0" t="s">
        <v>753</v>
      </c>
    </row>
    <row r="716" customFormat="false" ht="12.8" hidden="false" customHeight="false" outlineLevel="0" collapsed="false">
      <c r="A716" s="57" t="n">
        <v>46257</v>
      </c>
      <c r="B716" s="0" t="s">
        <v>807</v>
      </c>
      <c r="C716" s="0" t="s">
        <v>13</v>
      </c>
      <c r="D716" s="0" t="s">
        <v>95</v>
      </c>
      <c r="E716" s="58" t="str">
        <f aca="false">VLOOKUP(D716,Models!$A$2:$B$13,2,0)</f>
        <v>32-inch HD TV</v>
      </c>
      <c r="F716" s="0" t="s">
        <v>177</v>
      </c>
      <c r="G716" s="58" t="str">
        <f aca="false">VLOOKUP(F716,Countries!$A$2:$B$11,2,0)</f>
        <v>Saudi Arabia</v>
      </c>
      <c r="H716" s="13" t="n">
        <v>15</v>
      </c>
      <c r="I716" s="13" t="n">
        <v>58500</v>
      </c>
      <c r="J716" s="0" t="s">
        <v>14</v>
      </c>
      <c r="K716" s="0" t="s">
        <v>753</v>
      </c>
    </row>
    <row r="717" customFormat="false" ht="12.8" hidden="false" customHeight="false" outlineLevel="0" collapsed="false">
      <c r="A717" s="57" t="n">
        <v>46257</v>
      </c>
      <c r="B717" s="0" t="s">
        <v>808</v>
      </c>
      <c r="C717" s="0" t="s">
        <v>15</v>
      </c>
      <c r="D717" s="0" t="s">
        <v>64</v>
      </c>
      <c r="E717" s="58" t="str">
        <f aca="false">VLOOKUP(D717,Models!$A$2:$B$13,2,0)</f>
        <v>32-inch Smart TV</v>
      </c>
      <c r="F717" s="0" t="s">
        <v>75</v>
      </c>
      <c r="G717" s="58" t="str">
        <f aca="false">VLOOKUP(F717,Countries!$A$2:$B$11,2,0)</f>
        <v>Nigeria</v>
      </c>
      <c r="H717" s="13" t="n">
        <v>26</v>
      </c>
      <c r="I717" s="13" t="n">
        <v>119600</v>
      </c>
      <c r="J717" s="0" t="s">
        <v>14</v>
      </c>
      <c r="K717" s="0" t="s">
        <v>753</v>
      </c>
    </row>
    <row r="718" customFormat="false" ht="12.8" hidden="false" customHeight="false" outlineLevel="0" collapsed="false">
      <c r="A718" s="57" t="n">
        <v>46257</v>
      </c>
      <c r="B718" s="0" t="s">
        <v>809</v>
      </c>
      <c r="C718" s="0" t="s">
        <v>15</v>
      </c>
      <c r="D718" s="0" t="s">
        <v>85</v>
      </c>
      <c r="E718" s="58" t="str">
        <f aca="false">VLOOKUP(D718,Models!$A$2:$B$13,2,0)</f>
        <v>75-inch 4K TV</v>
      </c>
      <c r="F718" s="0" t="s">
        <v>69</v>
      </c>
      <c r="G718" s="58" t="str">
        <f aca="false">VLOOKUP(F718,Countries!$A$2:$B$11,2,0)</f>
        <v>Egypt</v>
      </c>
      <c r="H718" s="13" t="n">
        <v>7</v>
      </c>
      <c r="I718" s="13" t="n">
        <v>218400</v>
      </c>
      <c r="J718" s="0" t="s">
        <v>14</v>
      </c>
      <c r="K718" s="0" t="s">
        <v>753</v>
      </c>
    </row>
    <row r="719" customFormat="false" ht="12.8" hidden="false" customHeight="false" outlineLevel="0" collapsed="false">
      <c r="A719" s="57" t="n">
        <v>46257</v>
      </c>
      <c r="B719" s="0" t="s">
        <v>810</v>
      </c>
      <c r="C719" s="0" t="s">
        <v>15</v>
      </c>
      <c r="D719" s="0" t="s">
        <v>109</v>
      </c>
      <c r="E719" s="58" t="str">
        <f aca="false">VLOOKUP(D719,Models!$A$2:$B$13,2,0)</f>
        <v>55-inch QLED TV</v>
      </c>
      <c r="F719" s="0" t="s">
        <v>69</v>
      </c>
      <c r="G719" s="58" t="str">
        <f aca="false">VLOOKUP(F719,Countries!$A$2:$B$11,2,0)</f>
        <v>Egypt</v>
      </c>
      <c r="H719" s="13" t="n">
        <v>8</v>
      </c>
      <c r="I719" s="13" t="n">
        <v>124800</v>
      </c>
      <c r="J719" s="0" t="s">
        <v>14</v>
      </c>
      <c r="K719" s="0" t="s">
        <v>753</v>
      </c>
    </row>
    <row r="720" customFormat="false" ht="12.8" hidden="false" customHeight="false" outlineLevel="0" collapsed="false">
      <c r="A720" s="57" t="n">
        <v>46257</v>
      </c>
      <c r="B720" s="0" t="s">
        <v>811</v>
      </c>
      <c r="C720" s="0" t="s">
        <v>15</v>
      </c>
      <c r="D720" s="0" t="s">
        <v>88</v>
      </c>
      <c r="E720" s="58" t="str">
        <f aca="false">VLOOKUP(D720,Models!$A$2:$B$13,2,0)</f>
        <v>24-inch HD TV</v>
      </c>
      <c r="F720" s="0" t="s">
        <v>69</v>
      </c>
      <c r="G720" s="58" t="str">
        <f aca="false">VLOOKUP(F720,Countries!$A$2:$B$11,2,0)</f>
        <v>Egypt</v>
      </c>
      <c r="H720" s="13" t="n">
        <v>22</v>
      </c>
      <c r="I720" s="13" t="n">
        <v>63800</v>
      </c>
      <c r="J720" s="0" t="s">
        <v>14</v>
      </c>
      <c r="K720" s="0" t="s">
        <v>753</v>
      </c>
    </row>
    <row r="721" customFormat="false" ht="12.8" hidden="false" customHeight="false" outlineLevel="0" collapsed="false">
      <c r="A721" s="57" t="n">
        <v>46257</v>
      </c>
      <c r="B721" s="0" t="s">
        <v>812</v>
      </c>
      <c r="C721" s="0" t="s">
        <v>17</v>
      </c>
      <c r="D721" s="0" t="s">
        <v>74</v>
      </c>
      <c r="E721" s="58" t="str">
        <f aca="false">VLOOKUP(D721,Models!$A$2:$B$13,2,0)</f>
        <v>40-inch Full HD TV</v>
      </c>
      <c r="F721" s="0" t="s">
        <v>177</v>
      </c>
      <c r="G721" s="58" t="str">
        <f aca="false">VLOOKUP(F721,Countries!$A$2:$B$11,2,0)</f>
        <v>Saudi Arabia</v>
      </c>
      <c r="H721" s="13" t="n">
        <v>11</v>
      </c>
      <c r="I721" s="13" t="n">
        <v>68200</v>
      </c>
      <c r="J721" s="0" t="s">
        <v>14</v>
      </c>
      <c r="K721" s="0" t="s">
        <v>753</v>
      </c>
    </row>
    <row r="722" customFormat="false" ht="12.8" hidden="false" customHeight="false" outlineLevel="0" collapsed="false">
      <c r="A722" s="57" t="n">
        <v>46257</v>
      </c>
      <c r="B722" s="0" t="s">
        <v>813</v>
      </c>
      <c r="C722" s="0" t="s">
        <v>17</v>
      </c>
      <c r="D722" s="0" t="s">
        <v>77</v>
      </c>
      <c r="E722" s="58" t="str">
        <f aca="false">VLOOKUP(D722,Models!$A$2:$B$13,2,0)</f>
        <v>65-inch QLED TV</v>
      </c>
      <c r="F722" s="0" t="s">
        <v>69</v>
      </c>
      <c r="G722" s="58" t="str">
        <f aca="false">VLOOKUP(F722,Countries!$A$2:$B$11,2,0)</f>
        <v>Egypt</v>
      </c>
      <c r="H722" s="13" t="n">
        <v>16</v>
      </c>
      <c r="I722" s="13" t="n">
        <v>392000</v>
      </c>
      <c r="J722" s="0" t="s">
        <v>14</v>
      </c>
      <c r="K722" s="0" t="s">
        <v>753</v>
      </c>
    </row>
    <row r="723" customFormat="false" ht="12.8" hidden="false" customHeight="false" outlineLevel="0" collapsed="false">
      <c r="A723" s="57" t="n">
        <v>46257</v>
      </c>
      <c r="B723" s="0" t="s">
        <v>814</v>
      </c>
      <c r="C723" s="0" t="s">
        <v>17</v>
      </c>
      <c r="D723" s="0" t="s">
        <v>85</v>
      </c>
      <c r="E723" s="58" t="str">
        <f aca="false">VLOOKUP(D723,Models!$A$2:$B$13,2,0)</f>
        <v>75-inch 4K TV</v>
      </c>
      <c r="F723" s="0" t="s">
        <v>72</v>
      </c>
      <c r="G723" s="58" t="str">
        <f aca="false">VLOOKUP(F723,Countries!$A$2:$B$11,2,0)</f>
        <v>Kenya</v>
      </c>
      <c r="H723" s="13" t="n">
        <v>6</v>
      </c>
      <c r="I723" s="13" t="n">
        <v>187200</v>
      </c>
      <c r="J723" s="0" t="s">
        <v>14</v>
      </c>
      <c r="K723" s="0" t="s">
        <v>753</v>
      </c>
    </row>
    <row r="724" customFormat="false" ht="12.8" hidden="false" customHeight="false" outlineLevel="0" collapsed="false">
      <c r="A724" s="57" t="n">
        <v>46257</v>
      </c>
      <c r="B724" s="0" t="s">
        <v>815</v>
      </c>
      <c r="C724" s="0" t="s">
        <v>17</v>
      </c>
      <c r="D724" s="0" t="s">
        <v>77</v>
      </c>
      <c r="E724" s="58" t="str">
        <f aca="false">VLOOKUP(D724,Models!$A$2:$B$13,2,0)</f>
        <v>65-inch QLED TV</v>
      </c>
      <c r="F724" s="0" t="s">
        <v>98</v>
      </c>
      <c r="G724" s="58" t="str">
        <f aca="false">VLOOKUP(F724,Countries!$A$2:$B$11,2,0)</f>
        <v>Libya</v>
      </c>
      <c r="H724" s="13" t="n">
        <v>12</v>
      </c>
      <c r="I724" s="13" t="n">
        <v>294000</v>
      </c>
      <c r="J724" s="0" t="s">
        <v>14</v>
      </c>
      <c r="K724" s="0" t="s">
        <v>753</v>
      </c>
    </row>
    <row r="725" customFormat="false" ht="12.8" hidden="false" customHeight="false" outlineLevel="0" collapsed="false">
      <c r="A725" s="57" t="n">
        <v>46257</v>
      </c>
      <c r="B725" s="0" t="s">
        <v>816</v>
      </c>
      <c r="C725" s="0" t="s">
        <v>19</v>
      </c>
      <c r="D725" s="0" t="s">
        <v>109</v>
      </c>
      <c r="E725" s="58" t="str">
        <f aca="false">VLOOKUP(D725,Models!$A$2:$B$13,2,0)</f>
        <v>55-inch QLED TV</v>
      </c>
      <c r="F725" s="0" t="s">
        <v>75</v>
      </c>
      <c r="G725" s="58" t="str">
        <f aca="false">VLOOKUP(F725,Countries!$A$2:$B$11,2,0)</f>
        <v>Nigeria</v>
      </c>
      <c r="H725" s="13" t="n">
        <v>6</v>
      </c>
      <c r="I725" s="13" t="n">
        <v>93600</v>
      </c>
      <c r="J725" s="0" t="s">
        <v>14</v>
      </c>
      <c r="K725" s="0" t="s">
        <v>753</v>
      </c>
    </row>
    <row r="726" customFormat="false" ht="12.8" hidden="false" customHeight="false" outlineLevel="0" collapsed="false">
      <c r="A726" s="57" t="n">
        <v>46257</v>
      </c>
      <c r="B726" s="0" t="s">
        <v>817</v>
      </c>
      <c r="C726" s="0" t="s">
        <v>19</v>
      </c>
      <c r="D726" s="0" t="s">
        <v>88</v>
      </c>
      <c r="E726" s="58" t="str">
        <f aca="false">VLOOKUP(D726,Models!$A$2:$B$13,2,0)</f>
        <v>24-inch HD TV</v>
      </c>
      <c r="F726" s="0" t="s">
        <v>98</v>
      </c>
      <c r="G726" s="58" t="str">
        <f aca="false">VLOOKUP(F726,Countries!$A$2:$B$11,2,0)</f>
        <v>Libya</v>
      </c>
      <c r="H726" s="13" t="n">
        <v>25</v>
      </c>
      <c r="I726" s="13" t="n">
        <v>72500</v>
      </c>
      <c r="J726" s="0" t="s">
        <v>14</v>
      </c>
      <c r="K726" s="0" t="s">
        <v>753</v>
      </c>
    </row>
    <row r="727" customFormat="false" ht="12.8" hidden="false" customHeight="false" outlineLevel="0" collapsed="false">
      <c r="A727" s="57" t="n">
        <v>46257</v>
      </c>
      <c r="B727" s="0" t="s">
        <v>818</v>
      </c>
      <c r="C727" s="0" t="s">
        <v>19</v>
      </c>
      <c r="D727" s="0" t="s">
        <v>90</v>
      </c>
      <c r="E727" s="58" t="str">
        <f aca="false">VLOOKUP(D727,Models!$A$2:$B$13,2,0)</f>
        <v>55-inch 4K TV</v>
      </c>
      <c r="F727" s="0" t="s">
        <v>177</v>
      </c>
      <c r="G727" s="58" t="str">
        <f aca="false">VLOOKUP(F727,Countries!$A$2:$B$11,2,0)</f>
        <v>Saudi Arabia</v>
      </c>
      <c r="H727" s="13" t="n">
        <v>22</v>
      </c>
      <c r="I727" s="13" t="n">
        <v>270600</v>
      </c>
      <c r="J727" s="0" t="s">
        <v>14</v>
      </c>
      <c r="K727" s="0" t="s">
        <v>753</v>
      </c>
    </row>
    <row r="728" customFormat="false" ht="12.8" hidden="false" customHeight="false" outlineLevel="0" collapsed="false">
      <c r="A728" s="57" t="n">
        <v>46257</v>
      </c>
      <c r="B728" s="0" t="s">
        <v>819</v>
      </c>
      <c r="C728" s="0" t="s">
        <v>20</v>
      </c>
      <c r="D728" s="0" t="s">
        <v>74</v>
      </c>
      <c r="E728" s="58" t="str">
        <f aca="false">VLOOKUP(D728,Models!$A$2:$B$13,2,0)</f>
        <v>40-inch Full HD TV</v>
      </c>
      <c r="F728" s="0" t="s">
        <v>65</v>
      </c>
      <c r="G728" s="58" t="str">
        <f aca="false">VLOOKUP(F728,Countries!$A$2:$B$11,2,0)</f>
        <v>Jordan</v>
      </c>
      <c r="H728" s="13" t="n">
        <v>46</v>
      </c>
      <c r="I728" s="13" t="n">
        <v>285200</v>
      </c>
      <c r="J728" s="0" t="s">
        <v>14</v>
      </c>
      <c r="K728" s="0" t="s">
        <v>753</v>
      </c>
    </row>
    <row r="729" customFormat="false" ht="12.8" hidden="false" customHeight="false" outlineLevel="0" collapsed="false">
      <c r="A729" s="57" t="n">
        <v>46257</v>
      </c>
      <c r="B729" s="0" t="s">
        <v>820</v>
      </c>
      <c r="C729" s="0" t="s">
        <v>20</v>
      </c>
      <c r="D729" s="0" t="s">
        <v>90</v>
      </c>
      <c r="E729" s="58" t="str">
        <f aca="false">VLOOKUP(D729,Models!$A$2:$B$13,2,0)</f>
        <v>55-inch 4K TV</v>
      </c>
      <c r="F729" s="0" t="s">
        <v>69</v>
      </c>
      <c r="G729" s="58" t="str">
        <f aca="false">VLOOKUP(F729,Countries!$A$2:$B$11,2,0)</f>
        <v>Egypt</v>
      </c>
      <c r="H729" s="13" t="n">
        <v>16</v>
      </c>
      <c r="I729" s="13" t="n">
        <v>196800</v>
      </c>
      <c r="J729" s="0" t="s">
        <v>14</v>
      </c>
      <c r="K729" s="0" t="s">
        <v>753</v>
      </c>
    </row>
    <row r="730" customFormat="false" ht="12.8" hidden="false" customHeight="false" outlineLevel="0" collapsed="false">
      <c r="A730" s="57" t="n">
        <v>46257</v>
      </c>
      <c r="B730" s="0" t="s">
        <v>821</v>
      </c>
      <c r="C730" s="0" t="s">
        <v>20</v>
      </c>
      <c r="D730" s="0" t="s">
        <v>109</v>
      </c>
      <c r="E730" s="58" t="str">
        <f aca="false">VLOOKUP(D730,Models!$A$2:$B$13,2,0)</f>
        <v>55-inch QLED TV</v>
      </c>
      <c r="F730" s="0" t="s">
        <v>69</v>
      </c>
      <c r="G730" s="58" t="str">
        <f aca="false">VLOOKUP(F730,Countries!$A$2:$B$11,2,0)</f>
        <v>Egypt</v>
      </c>
      <c r="H730" s="13" t="n">
        <v>7</v>
      </c>
      <c r="I730" s="13" t="n">
        <v>109200</v>
      </c>
      <c r="J730" s="0" t="s">
        <v>14</v>
      </c>
      <c r="K730" s="0" t="s">
        <v>753</v>
      </c>
    </row>
    <row r="731" customFormat="false" ht="12.8" hidden="false" customHeight="false" outlineLevel="0" collapsed="false">
      <c r="A731" s="57" t="n">
        <v>46257</v>
      </c>
      <c r="B731" s="0" t="s">
        <v>822</v>
      </c>
      <c r="C731" s="0" t="s">
        <v>21</v>
      </c>
      <c r="D731" s="0" t="s">
        <v>109</v>
      </c>
      <c r="E731" s="58" t="str">
        <f aca="false">VLOOKUP(D731,Models!$A$2:$B$13,2,0)</f>
        <v>55-inch QLED TV</v>
      </c>
      <c r="F731" s="0" t="s">
        <v>69</v>
      </c>
      <c r="G731" s="58" t="str">
        <f aca="false">VLOOKUP(F731,Countries!$A$2:$B$11,2,0)</f>
        <v>Egypt</v>
      </c>
      <c r="H731" s="13" t="n">
        <v>9</v>
      </c>
      <c r="I731" s="13" t="n">
        <v>140400</v>
      </c>
      <c r="J731" s="0" t="s">
        <v>14</v>
      </c>
      <c r="K731" s="0" t="s">
        <v>753</v>
      </c>
    </row>
    <row r="732" customFormat="false" ht="12.8" hidden="false" customHeight="false" outlineLevel="0" collapsed="false">
      <c r="A732" s="57" t="n">
        <v>46258</v>
      </c>
      <c r="B732" s="0" t="s">
        <v>823</v>
      </c>
      <c r="C732" s="0" t="s">
        <v>13</v>
      </c>
      <c r="D732" s="0" t="s">
        <v>85</v>
      </c>
      <c r="E732" s="58" t="str">
        <f aca="false">VLOOKUP(D732,Models!$A$2:$B$13,2,0)</f>
        <v>75-inch 4K TV</v>
      </c>
      <c r="F732" s="0" t="s">
        <v>69</v>
      </c>
      <c r="G732" s="58" t="str">
        <f aca="false">VLOOKUP(F732,Countries!$A$2:$B$11,2,0)</f>
        <v>Egypt</v>
      </c>
      <c r="H732" s="13" t="n">
        <v>16</v>
      </c>
      <c r="I732" s="13" t="n">
        <v>499200</v>
      </c>
      <c r="J732" s="0" t="s">
        <v>14</v>
      </c>
      <c r="K732" s="0" t="s">
        <v>753</v>
      </c>
    </row>
    <row r="733" customFormat="false" ht="12.8" hidden="false" customHeight="false" outlineLevel="0" collapsed="false">
      <c r="A733" s="57" t="n">
        <v>46258</v>
      </c>
      <c r="B733" s="0" t="s">
        <v>824</v>
      </c>
      <c r="C733" s="0" t="s">
        <v>13</v>
      </c>
      <c r="D733" s="0" t="s">
        <v>85</v>
      </c>
      <c r="E733" s="58" t="str">
        <f aca="false">VLOOKUP(D733,Models!$A$2:$B$13,2,0)</f>
        <v>75-inch 4K TV</v>
      </c>
      <c r="F733" s="0" t="s">
        <v>72</v>
      </c>
      <c r="G733" s="58" t="str">
        <f aca="false">VLOOKUP(F733,Countries!$A$2:$B$11,2,0)</f>
        <v>Kenya</v>
      </c>
      <c r="H733" s="13" t="n">
        <v>13</v>
      </c>
      <c r="I733" s="13" t="n">
        <v>405600</v>
      </c>
      <c r="J733" s="0" t="s">
        <v>14</v>
      </c>
      <c r="K733" s="0" t="s">
        <v>753</v>
      </c>
    </row>
    <row r="734" customFormat="false" ht="12.8" hidden="false" customHeight="false" outlineLevel="0" collapsed="false">
      <c r="A734" s="57" t="n">
        <v>46258</v>
      </c>
      <c r="B734" s="0" t="s">
        <v>825</v>
      </c>
      <c r="C734" s="0" t="s">
        <v>13</v>
      </c>
      <c r="D734" s="0" t="s">
        <v>95</v>
      </c>
      <c r="E734" s="58" t="str">
        <f aca="false">VLOOKUP(D734,Models!$A$2:$B$13,2,0)</f>
        <v>32-inch HD TV</v>
      </c>
      <c r="F734" s="0" t="s">
        <v>79</v>
      </c>
      <c r="G734" s="58" t="str">
        <f aca="false">VLOOKUP(F734,Countries!$A$2:$B$11,2,0)</f>
        <v>Iraq</v>
      </c>
      <c r="H734" s="13" t="n">
        <v>17</v>
      </c>
      <c r="I734" s="13" t="n">
        <v>66300</v>
      </c>
      <c r="J734" s="0" t="s">
        <v>14</v>
      </c>
      <c r="K734" s="0" t="s">
        <v>753</v>
      </c>
    </row>
    <row r="735" customFormat="false" ht="12.8" hidden="false" customHeight="false" outlineLevel="0" collapsed="false">
      <c r="A735" s="57" t="n">
        <v>46258</v>
      </c>
      <c r="B735" s="0" t="s">
        <v>826</v>
      </c>
      <c r="C735" s="0" t="s">
        <v>13</v>
      </c>
      <c r="D735" s="0" t="s">
        <v>81</v>
      </c>
      <c r="E735" s="58" t="str">
        <f aca="false">VLOOKUP(D735,Models!$A$2:$B$13,2,0)</f>
        <v>43-inch Smart TV</v>
      </c>
      <c r="F735" s="0" t="s">
        <v>75</v>
      </c>
      <c r="G735" s="58" t="str">
        <f aca="false">VLOOKUP(F735,Countries!$A$2:$B$11,2,0)</f>
        <v>Nigeria</v>
      </c>
      <c r="H735" s="13" t="n">
        <v>8</v>
      </c>
      <c r="I735" s="13" t="n">
        <v>62400</v>
      </c>
      <c r="J735" s="0" t="s">
        <v>14</v>
      </c>
      <c r="K735" s="0" t="s">
        <v>753</v>
      </c>
    </row>
    <row r="736" customFormat="false" ht="12.8" hidden="false" customHeight="false" outlineLevel="0" collapsed="false">
      <c r="A736" s="57" t="n">
        <v>46258</v>
      </c>
      <c r="B736" s="0" t="s">
        <v>827</v>
      </c>
      <c r="C736" s="0" t="s">
        <v>15</v>
      </c>
      <c r="D736" s="0" t="s">
        <v>81</v>
      </c>
      <c r="E736" s="58" t="str">
        <f aca="false">VLOOKUP(D736,Models!$A$2:$B$13,2,0)</f>
        <v>43-inch Smart TV</v>
      </c>
      <c r="F736" s="0" t="s">
        <v>69</v>
      </c>
      <c r="G736" s="58" t="str">
        <f aca="false">VLOOKUP(F736,Countries!$A$2:$B$11,2,0)</f>
        <v>Egypt</v>
      </c>
      <c r="H736" s="13" t="n">
        <v>12</v>
      </c>
      <c r="I736" s="13" t="n">
        <v>93600</v>
      </c>
      <c r="J736" s="0" t="s">
        <v>14</v>
      </c>
      <c r="K736" s="0" t="s">
        <v>753</v>
      </c>
    </row>
    <row r="737" customFormat="false" ht="12.8" hidden="false" customHeight="false" outlineLevel="0" collapsed="false">
      <c r="A737" s="57" t="n">
        <v>46258</v>
      </c>
      <c r="B737" s="0" t="s">
        <v>828</v>
      </c>
      <c r="C737" s="0" t="s">
        <v>15</v>
      </c>
      <c r="D737" s="0" t="s">
        <v>88</v>
      </c>
      <c r="E737" s="58" t="str">
        <f aca="false">VLOOKUP(D737,Models!$A$2:$B$13,2,0)</f>
        <v>24-inch HD TV</v>
      </c>
      <c r="F737" s="0" t="s">
        <v>79</v>
      </c>
      <c r="G737" s="58" t="str">
        <f aca="false">VLOOKUP(F737,Countries!$A$2:$B$11,2,0)</f>
        <v>Iraq</v>
      </c>
      <c r="H737" s="13" t="n">
        <v>58</v>
      </c>
      <c r="I737" s="13" t="n">
        <v>168200</v>
      </c>
      <c r="J737" s="0" t="s">
        <v>14</v>
      </c>
      <c r="K737" s="0" t="s">
        <v>753</v>
      </c>
    </row>
    <row r="738" customFormat="false" ht="12.8" hidden="false" customHeight="false" outlineLevel="0" collapsed="false">
      <c r="A738" s="57" t="n">
        <v>46258</v>
      </c>
      <c r="B738" s="0" t="s">
        <v>829</v>
      </c>
      <c r="C738" s="0" t="s">
        <v>15</v>
      </c>
      <c r="D738" s="0" t="s">
        <v>85</v>
      </c>
      <c r="E738" s="58" t="str">
        <f aca="false">VLOOKUP(D738,Models!$A$2:$B$13,2,0)</f>
        <v>75-inch 4K TV</v>
      </c>
      <c r="F738" s="0" t="s">
        <v>69</v>
      </c>
      <c r="G738" s="58" t="str">
        <f aca="false">VLOOKUP(F738,Countries!$A$2:$B$11,2,0)</f>
        <v>Egypt</v>
      </c>
      <c r="H738" s="13" t="n">
        <v>13</v>
      </c>
      <c r="I738" s="13" t="n">
        <v>405600</v>
      </c>
      <c r="J738" s="0" t="s">
        <v>14</v>
      </c>
      <c r="K738" s="0" t="s">
        <v>753</v>
      </c>
    </row>
    <row r="739" customFormat="false" ht="12.8" hidden="false" customHeight="false" outlineLevel="0" collapsed="false">
      <c r="A739" s="57" t="n">
        <v>46258</v>
      </c>
      <c r="B739" s="0" t="s">
        <v>830</v>
      </c>
      <c r="C739" s="0" t="s">
        <v>15</v>
      </c>
      <c r="D739" s="0" t="s">
        <v>74</v>
      </c>
      <c r="E739" s="58" t="str">
        <f aca="false">VLOOKUP(D739,Models!$A$2:$B$13,2,0)</f>
        <v>40-inch Full HD TV</v>
      </c>
      <c r="F739" s="0" t="s">
        <v>69</v>
      </c>
      <c r="G739" s="58" t="str">
        <f aca="false">VLOOKUP(F739,Countries!$A$2:$B$11,2,0)</f>
        <v>Egypt</v>
      </c>
      <c r="H739" s="13" t="n">
        <v>46</v>
      </c>
      <c r="I739" s="13" t="n">
        <v>285200</v>
      </c>
      <c r="J739" s="0" t="s">
        <v>14</v>
      </c>
      <c r="K739" s="0" t="s">
        <v>753</v>
      </c>
    </row>
    <row r="740" customFormat="false" ht="12.8" hidden="false" customHeight="false" outlineLevel="0" collapsed="false">
      <c r="A740" s="57" t="n">
        <v>46258</v>
      </c>
      <c r="B740" s="0" t="s">
        <v>831</v>
      </c>
      <c r="C740" s="0" t="s">
        <v>17</v>
      </c>
      <c r="D740" s="0" t="s">
        <v>92</v>
      </c>
      <c r="E740" s="58" t="str">
        <f aca="false">VLOOKUP(D740,Models!$A$2:$B$13,2,0)</f>
        <v>65-inch 4K TV</v>
      </c>
      <c r="F740" s="0" t="s">
        <v>69</v>
      </c>
      <c r="G740" s="58" t="str">
        <f aca="false">VLOOKUP(F740,Countries!$A$2:$B$11,2,0)</f>
        <v>Egypt</v>
      </c>
      <c r="H740" s="13" t="n">
        <v>18</v>
      </c>
      <c r="I740" s="13" t="n">
        <v>356400</v>
      </c>
      <c r="J740" s="0" t="s">
        <v>14</v>
      </c>
      <c r="K740" s="0" t="s">
        <v>753</v>
      </c>
    </row>
    <row r="741" customFormat="false" ht="12.8" hidden="false" customHeight="false" outlineLevel="0" collapsed="false">
      <c r="A741" s="57" t="n">
        <v>46258</v>
      </c>
      <c r="B741" s="0" t="s">
        <v>832</v>
      </c>
      <c r="C741" s="0" t="s">
        <v>17</v>
      </c>
      <c r="D741" s="0" t="s">
        <v>90</v>
      </c>
      <c r="E741" s="58" t="str">
        <f aca="false">VLOOKUP(D741,Models!$A$2:$B$13,2,0)</f>
        <v>55-inch 4K TV</v>
      </c>
      <c r="F741" s="0" t="s">
        <v>101</v>
      </c>
      <c r="G741" s="58" t="str">
        <f aca="false">VLOOKUP(F741,Countries!$A$2:$B$11,2,0)</f>
        <v>Kuwait</v>
      </c>
      <c r="H741" s="13" t="n">
        <v>20</v>
      </c>
      <c r="I741" s="13" t="n">
        <v>246000</v>
      </c>
      <c r="J741" s="0" t="s">
        <v>14</v>
      </c>
      <c r="K741" s="0" t="s">
        <v>753</v>
      </c>
    </row>
    <row r="742" customFormat="false" ht="12.8" hidden="false" customHeight="false" outlineLevel="0" collapsed="false">
      <c r="A742" s="57" t="n">
        <v>46258</v>
      </c>
      <c r="B742" s="0" t="s">
        <v>833</v>
      </c>
      <c r="C742" s="0" t="s">
        <v>17</v>
      </c>
      <c r="D742" s="0" t="s">
        <v>71</v>
      </c>
      <c r="E742" s="58" t="str">
        <f aca="false">VLOOKUP(D742,Models!$A$2:$B$13,2,0)</f>
        <v>43-inch Full HD TV</v>
      </c>
      <c r="F742" s="0" t="s">
        <v>69</v>
      </c>
      <c r="G742" s="58" t="str">
        <f aca="false">VLOOKUP(F742,Countries!$A$2:$B$11,2,0)</f>
        <v>Egypt</v>
      </c>
      <c r="H742" s="13" t="n">
        <v>11</v>
      </c>
      <c r="I742" s="13" t="n">
        <v>75900</v>
      </c>
      <c r="J742" s="0" t="s">
        <v>14</v>
      </c>
      <c r="K742" s="0" t="s">
        <v>753</v>
      </c>
    </row>
    <row r="743" customFormat="false" ht="12.8" hidden="false" customHeight="false" outlineLevel="0" collapsed="false">
      <c r="A743" s="57" t="n">
        <v>46258</v>
      </c>
      <c r="B743" s="0" t="s">
        <v>834</v>
      </c>
      <c r="C743" s="0" t="s">
        <v>17</v>
      </c>
      <c r="D743" s="0" t="s">
        <v>77</v>
      </c>
      <c r="E743" s="58" t="str">
        <f aca="false">VLOOKUP(D743,Models!$A$2:$B$13,2,0)</f>
        <v>65-inch QLED TV</v>
      </c>
      <c r="F743" s="0" t="s">
        <v>69</v>
      </c>
      <c r="G743" s="58" t="str">
        <f aca="false">VLOOKUP(F743,Countries!$A$2:$B$11,2,0)</f>
        <v>Egypt</v>
      </c>
      <c r="H743" s="13" t="n">
        <v>7</v>
      </c>
      <c r="I743" s="13" t="n">
        <v>171500</v>
      </c>
      <c r="J743" s="0" t="s">
        <v>14</v>
      </c>
      <c r="K743" s="0" t="s">
        <v>753</v>
      </c>
    </row>
    <row r="744" customFormat="false" ht="12.8" hidden="false" customHeight="false" outlineLevel="0" collapsed="false">
      <c r="A744" s="57" t="n">
        <v>46258</v>
      </c>
      <c r="B744" s="0" t="s">
        <v>835</v>
      </c>
      <c r="C744" s="0" t="s">
        <v>17</v>
      </c>
      <c r="D744" s="0" t="s">
        <v>88</v>
      </c>
      <c r="E744" s="58" t="str">
        <f aca="false">VLOOKUP(D744,Models!$A$2:$B$13,2,0)</f>
        <v>24-inch HD TV</v>
      </c>
      <c r="F744" s="0" t="s">
        <v>101</v>
      </c>
      <c r="G744" s="58" t="str">
        <f aca="false">VLOOKUP(F744,Countries!$A$2:$B$11,2,0)</f>
        <v>Kuwait</v>
      </c>
      <c r="H744" s="13" t="n">
        <v>46</v>
      </c>
      <c r="I744" s="13" t="n">
        <v>133400</v>
      </c>
      <c r="J744" s="0" t="s">
        <v>14</v>
      </c>
      <c r="K744" s="0" t="s">
        <v>753</v>
      </c>
    </row>
    <row r="745" customFormat="false" ht="12.8" hidden="false" customHeight="false" outlineLevel="0" collapsed="false">
      <c r="A745" s="57" t="n">
        <v>46258</v>
      </c>
      <c r="B745" s="0" t="s">
        <v>836</v>
      </c>
      <c r="C745" s="0" t="s">
        <v>19</v>
      </c>
      <c r="D745" s="0" t="s">
        <v>109</v>
      </c>
      <c r="E745" s="58" t="str">
        <f aca="false">VLOOKUP(D745,Models!$A$2:$B$13,2,0)</f>
        <v>55-inch QLED TV</v>
      </c>
      <c r="F745" s="0" t="s">
        <v>177</v>
      </c>
      <c r="G745" s="58" t="str">
        <f aca="false">VLOOKUP(F745,Countries!$A$2:$B$11,2,0)</f>
        <v>Saudi Arabia</v>
      </c>
      <c r="H745" s="13" t="n">
        <v>15</v>
      </c>
      <c r="I745" s="13" t="n">
        <v>234000</v>
      </c>
      <c r="J745" s="0" t="s">
        <v>14</v>
      </c>
      <c r="K745" s="0" t="s">
        <v>753</v>
      </c>
    </row>
    <row r="746" customFormat="false" ht="12.8" hidden="false" customHeight="false" outlineLevel="0" collapsed="false">
      <c r="A746" s="57" t="n">
        <v>46258</v>
      </c>
      <c r="B746" s="0" t="s">
        <v>837</v>
      </c>
      <c r="C746" s="0" t="s">
        <v>19</v>
      </c>
      <c r="D746" s="0" t="s">
        <v>81</v>
      </c>
      <c r="E746" s="58" t="str">
        <f aca="false">VLOOKUP(D746,Models!$A$2:$B$13,2,0)</f>
        <v>43-inch Smart TV</v>
      </c>
      <c r="F746" s="0" t="s">
        <v>69</v>
      </c>
      <c r="G746" s="58" t="str">
        <f aca="false">VLOOKUP(F746,Countries!$A$2:$B$11,2,0)</f>
        <v>Egypt</v>
      </c>
      <c r="H746" s="13" t="n">
        <v>22</v>
      </c>
      <c r="I746" s="13" t="n">
        <v>171600</v>
      </c>
      <c r="J746" s="0" t="s">
        <v>14</v>
      </c>
      <c r="K746" s="0" t="s">
        <v>753</v>
      </c>
    </row>
    <row r="747" customFormat="false" ht="12.8" hidden="false" customHeight="false" outlineLevel="0" collapsed="false">
      <c r="A747" s="57" t="n">
        <v>46258</v>
      </c>
      <c r="B747" s="0" t="s">
        <v>838</v>
      </c>
      <c r="C747" s="0" t="s">
        <v>19</v>
      </c>
      <c r="D747" s="0" t="s">
        <v>68</v>
      </c>
      <c r="E747" s="58" t="str">
        <f aca="false">VLOOKUP(D747,Models!$A$2:$B$13,2,0)</f>
        <v>50-inch 4K TV</v>
      </c>
      <c r="F747" s="0" t="s">
        <v>98</v>
      </c>
      <c r="G747" s="58" t="str">
        <f aca="false">VLOOKUP(F747,Countries!$A$2:$B$11,2,0)</f>
        <v>Libya</v>
      </c>
      <c r="H747" s="13" t="n">
        <v>26</v>
      </c>
      <c r="I747" s="13" t="n">
        <v>270400</v>
      </c>
      <c r="J747" s="0" t="s">
        <v>14</v>
      </c>
      <c r="K747" s="0" t="s">
        <v>753</v>
      </c>
    </row>
    <row r="748" customFormat="false" ht="12.8" hidden="false" customHeight="false" outlineLevel="0" collapsed="false">
      <c r="A748" s="57" t="n">
        <v>46258</v>
      </c>
      <c r="B748" s="0" t="s">
        <v>839</v>
      </c>
      <c r="C748" s="0" t="s">
        <v>19</v>
      </c>
      <c r="D748" s="0" t="s">
        <v>74</v>
      </c>
      <c r="E748" s="58" t="str">
        <f aca="false">VLOOKUP(D748,Models!$A$2:$B$13,2,0)</f>
        <v>40-inch Full HD TV</v>
      </c>
      <c r="F748" s="0" t="s">
        <v>177</v>
      </c>
      <c r="G748" s="58" t="str">
        <f aca="false">VLOOKUP(F748,Countries!$A$2:$B$11,2,0)</f>
        <v>Saudi Arabia</v>
      </c>
      <c r="H748" s="13" t="n">
        <v>46</v>
      </c>
      <c r="I748" s="13" t="n">
        <v>285200</v>
      </c>
      <c r="J748" s="0" t="s">
        <v>14</v>
      </c>
      <c r="K748" s="0" t="s">
        <v>753</v>
      </c>
    </row>
    <row r="749" customFormat="false" ht="12.8" hidden="false" customHeight="false" outlineLevel="0" collapsed="false">
      <c r="A749" s="57" t="n">
        <v>46258</v>
      </c>
      <c r="B749" s="0" t="s">
        <v>840</v>
      </c>
      <c r="C749" s="0" t="s">
        <v>20</v>
      </c>
      <c r="D749" s="0" t="s">
        <v>95</v>
      </c>
      <c r="E749" s="58" t="str">
        <f aca="false">VLOOKUP(D749,Models!$A$2:$B$13,2,0)</f>
        <v>32-inch HD TV</v>
      </c>
      <c r="F749" s="0" t="s">
        <v>98</v>
      </c>
      <c r="G749" s="58" t="str">
        <f aca="false">VLOOKUP(F749,Countries!$A$2:$B$11,2,0)</f>
        <v>Libya</v>
      </c>
      <c r="H749" s="13" t="n">
        <v>42</v>
      </c>
      <c r="I749" s="13" t="n">
        <v>163800</v>
      </c>
      <c r="J749" s="0" t="s">
        <v>14</v>
      </c>
      <c r="K749" s="0" t="s">
        <v>753</v>
      </c>
    </row>
    <row r="750" customFormat="false" ht="12.8" hidden="false" customHeight="false" outlineLevel="0" collapsed="false">
      <c r="A750" s="57" t="n">
        <v>46258</v>
      </c>
      <c r="B750" s="0" t="s">
        <v>841</v>
      </c>
      <c r="C750" s="0" t="s">
        <v>20</v>
      </c>
      <c r="D750" s="0" t="s">
        <v>85</v>
      </c>
      <c r="E750" s="58" t="str">
        <f aca="false">VLOOKUP(D750,Models!$A$2:$B$13,2,0)</f>
        <v>75-inch 4K TV</v>
      </c>
      <c r="F750" s="0" t="s">
        <v>69</v>
      </c>
      <c r="G750" s="58" t="str">
        <f aca="false">VLOOKUP(F750,Countries!$A$2:$B$11,2,0)</f>
        <v>Egypt</v>
      </c>
      <c r="H750" s="13" t="n">
        <v>6</v>
      </c>
      <c r="I750" s="13" t="n">
        <v>187200</v>
      </c>
      <c r="J750" s="0" t="s">
        <v>14</v>
      </c>
      <c r="K750" s="0" t="s">
        <v>753</v>
      </c>
    </row>
    <row r="751" customFormat="false" ht="12.8" hidden="false" customHeight="false" outlineLevel="0" collapsed="false">
      <c r="A751" s="57" t="n">
        <v>46258</v>
      </c>
      <c r="B751" s="0" t="s">
        <v>842</v>
      </c>
      <c r="C751" s="0" t="s">
        <v>20</v>
      </c>
      <c r="D751" s="0" t="s">
        <v>71</v>
      </c>
      <c r="E751" s="58" t="str">
        <f aca="false">VLOOKUP(D751,Models!$A$2:$B$13,2,0)</f>
        <v>43-inch Full HD TV</v>
      </c>
      <c r="F751" s="0" t="s">
        <v>69</v>
      </c>
      <c r="G751" s="58" t="str">
        <f aca="false">VLOOKUP(F751,Countries!$A$2:$B$11,2,0)</f>
        <v>Egypt</v>
      </c>
      <c r="H751" s="13" t="n">
        <v>13</v>
      </c>
      <c r="I751" s="13" t="n">
        <v>89700</v>
      </c>
      <c r="J751" s="0" t="s">
        <v>14</v>
      </c>
      <c r="K751" s="0" t="s">
        <v>753</v>
      </c>
    </row>
    <row r="752" customFormat="false" ht="12.8" hidden="false" customHeight="false" outlineLevel="0" collapsed="false">
      <c r="A752" s="57" t="n">
        <v>46258</v>
      </c>
      <c r="B752" s="0" t="s">
        <v>843</v>
      </c>
      <c r="C752" s="0" t="s">
        <v>21</v>
      </c>
      <c r="D752" s="0" t="s">
        <v>92</v>
      </c>
      <c r="E752" s="58" t="str">
        <f aca="false">VLOOKUP(D752,Models!$A$2:$B$13,2,0)</f>
        <v>65-inch 4K TV</v>
      </c>
      <c r="F752" s="0" t="s">
        <v>75</v>
      </c>
      <c r="G752" s="58" t="str">
        <f aca="false">VLOOKUP(F752,Countries!$A$2:$B$11,2,0)</f>
        <v>Nigeria</v>
      </c>
      <c r="H752" s="13" t="n">
        <v>12</v>
      </c>
      <c r="I752" s="13" t="n">
        <v>237600</v>
      </c>
      <c r="J752" s="0" t="s">
        <v>14</v>
      </c>
      <c r="K752" s="0" t="s">
        <v>753</v>
      </c>
    </row>
    <row r="753" customFormat="false" ht="12.8" hidden="false" customHeight="false" outlineLevel="0" collapsed="false">
      <c r="A753" s="57" t="n">
        <v>46259</v>
      </c>
      <c r="B753" s="0" t="s">
        <v>844</v>
      </c>
      <c r="C753" s="0" t="s">
        <v>13</v>
      </c>
      <c r="D753" s="0" t="s">
        <v>95</v>
      </c>
      <c r="E753" s="58" t="str">
        <f aca="false">VLOOKUP(D753,Models!$A$2:$B$13,2,0)</f>
        <v>32-inch HD TV</v>
      </c>
      <c r="F753" s="0" t="s">
        <v>103</v>
      </c>
      <c r="G753" s="58" t="str">
        <f aca="false">VLOOKUP(F753,Countries!$A$2:$B$11,2,0)</f>
        <v>Morocco</v>
      </c>
      <c r="H753" s="13" t="n">
        <v>62</v>
      </c>
      <c r="I753" s="13" t="n">
        <v>241800</v>
      </c>
      <c r="J753" s="0" t="s">
        <v>14</v>
      </c>
      <c r="K753" s="0" t="s">
        <v>753</v>
      </c>
    </row>
    <row r="754" customFormat="false" ht="12.8" hidden="false" customHeight="false" outlineLevel="0" collapsed="false">
      <c r="A754" s="57" t="n">
        <v>46259</v>
      </c>
      <c r="B754" s="0" t="s">
        <v>845</v>
      </c>
      <c r="C754" s="0" t="s">
        <v>15</v>
      </c>
      <c r="D754" s="0" t="s">
        <v>92</v>
      </c>
      <c r="E754" s="58" t="str">
        <f aca="false">VLOOKUP(D754,Models!$A$2:$B$13,2,0)</f>
        <v>65-inch 4K TV</v>
      </c>
      <c r="F754" s="0" t="s">
        <v>83</v>
      </c>
      <c r="G754" s="58" t="str">
        <f aca="false">VLOOKUP(F754,Countries!$A$2:$B$11,2,0)</f>
        <v>United Arab Emirates</v>
      </c>
      <c r="H754" s="13" t="n">
        <v>12</v>
      </c>
      <c r="I754" s="13" t="n">
        <v>237600</v>
      </c>
      <c r="J754" s="0" t="s">
        <v>14</v>
      </c>
      <c r="K754" s="0" t="s">
        <v>753</v>
      </c>
    </row>
    <row r="755" customFormat="false" ht="12.8" hidden="false" customHeight="false" outlineLevel="0" collapsed="false">
      <c r="A755" s="57" t="n">
        <v>46259</v>
      </c>
      <c r="B755" s="0" t="s">
        <v>846</v>
      </c>
      <c r="C755" s="0" t="s">
        <v>15</v>
      </c>
      <c r="D755" s="0" t="s">
        <v>81</v>
      </c>
      <c r="E755" s="58" t="str">
        <f aca="false">VLOOKUP(D755,Models!$A$2:$B$13,2,0)</f>
        <v>43-inch Smart TV</v>
      </c>
      <c r="F755" s="0" t="s">
        <v>75</v>
      </c>
      <c r="G755" s="58" t="str">
        <f aca="false">VLOOKUP(F755,Countries!$A$2:$B$11,2,0)</f>
        <v>Nigeria</v>
      </c>
      <c r="H755" s="13" t="n">
        <v>37</v>
      </c>
      <c r="I755" s="13" t="n">
        <v>288600</v>
      </c>
      <c r="J755" s="0" t="s">
        <v>14</v>
      </c>
      <c r="K755" s="0" t="s">
        <v>753</v>
      </c>
    </row>
    <row r="756" customFormat="false" ht="12.8" hidden="false" customHeight="false" outlineLevel="0" collapsed="false">
      <c r="A756" s="57" t="n">
        <v>46259</v>
      </c>
      <c r="B756" s="0" t="s">
        <v>847</v>
      </c>
      <c r="C756" s="0" t="s">
        <v>15</v>
      </c>
      <c r="D756" s="0" t="s">
        <v>68</v>
      </c>
      <c r="E756" s="58" t="str">
        <f aca="false">VLOOKUP(D756,Models!$A$2:$B$13,2,0)</f>
        <v>50-inch 4K TV</v>
      </c>
      <c r="F756" s="0" t="s">
        <v>69</v>
      </c>
      <c r="G756" s="58" t="str">
        <f aca="false">VLOOKUP(F756,Countries!$A$2:$B$11,2,0)</f>
        <v>Egypt</v>
      </c>
      <c r="H756" s="13" t="n">
        <v>26</v>
      </c>
      <c r="I756" s="13" t="n">
        <v>270400</v>
      </c>
      <c r="J756" s="0" t="s">
        <v>14</v>
      </c>
      <c r="K756" s="0" t="s">
        <v>753</v>
      </c>
    </row>
    <row r="757" customFormat="false" ht="12.8" hidden="false" customHeight="false" outlineLevel="0" collapsed="false">
      <c r="A757" s="57" t="n">
        <v>46259</v>
      </c>
      <c r="B757" s="0" t="s">
        <v>848</v>
      </c>
      <c r="C757" s="0" t="s">
        <v>15</v>
      </c>
      <c r="D757" s="0" t="s">
        <v>64</v>
      </c>
      <c r="E757" s="58" t="str">
        <f aca="false">VLOOKUP(D757,Models!$A$2:$B$13,2,0)</f>
        <v>32-inch Smart TV</v>
      </c>
      <c r="F757" s="0" t="s">
        <v>79</v>
      </c>
      <c r="G757" s="58" t="str">
        <f aca="false">VLOOKUP(F757,Countries!$A$2:$B$11,2,0)</f>
        <v>Iraq</v>
      </c>
      <c r="H757" s="13" t="n">
        <v>55</v>
      </c>
      <c r="I757" s="13" t="n">
        <v>253000</v>
      </c>
      <c r="J757" s="0" t="s">
        <v>14</v>
      </c>
      <c r="K757" s="0" t="s">
        <v>753</v>
      </c>
    </row>
    <row r="758" customFormat="false" ht="12.8" hidden="false" customHeight="false" outlineLevel="0" collapsed="false">
      <c r="A758" s="57" t="n">
        <v>46259</v>
      </c>
      <c r="B758" s="0" t="s">
        <v>849</v>
      </c>
      <c r="C758" s="0" t="s">
        <v>15</v>
      </c>
      <c r="D758" s="0" t="s">
        <v>85</v>
      </c>
      <c r="E758" s="58" t="str">
        <f aca="false">VLOOKUP(D758,Models!$A$2:$B$13,2,0)</f>
        <v>75-inch 4K TV</v>
      </c>
      <c r="F758" s="0" t="s">
        <v>69</v>
      </c>
      <c r="G758" s="58" t="str">
        <f aca="false">VLOOKUP(F758,Countries!$A$2:$B$11,2,0)</f>
        <v>Egypt</v>
      </c>
      <c r="H758" s="13" t="n">
        <v>11</v>
      </c>
      <c r="I758" s="13" t="n">
        <v>343200</v>
      </c>
      <c r="J758" s="0" t="s">
        <v>14</v>
      </c>
      <c r="K758" s="0" t="s">
        <v>753</v>
      </c>
    </row>
    <row r="759" customFormat="false" ht="12.8" hidden="false" customHeight="false" outlineLevel="0" collapsed="false">
      <c r="A759" s="57" t="n">
        <v>46259</v>
      </c>
      <c r="B759" s="0" t="s">
        <v>850</v>
      </c>
      <c r="C759" s="0" t="s">
        <v>17</v>
      </c>
      <c r="D759" s="0" t="s">
        <v>68</v>
      </c>
      <c r="E759" s="58" t="str">
        <f aca="false">VLOOKUP(D759,Models!$A$2:$B$13,2,0)</f>
        <v>50-inch 4K TV</v>
      </c>
      <c r="F759" s="0" t="s">
        <v>177</v>
      </c>
      <c r="G759" s="58" t="str">
        <f aca="false">VLOOKUP(F759,Countries!$A$2:$B$11,2,0)</f>
        <v>Saudi Arabia</v>
      </c>
      <c r="H759" s="13" t="n">
        <v>8</v>
      </c>
      <c r="I759" s="13" t="n">
        <v>83200</v>
      </c>
      <c r="J759" s="0" t="s">
        <v>14</v>
      </c>
      <c r="K759" s="0" t="s">
        <v>753</v>
      </c>
    </row>
    <row r="760" customFormat="false" ht="12.8" hidden="false" customHeight="false" outlineLevel="0" collapsed="false">
      <c r="A760" s="57" t="n">
        <v>46259</v>
      </c>
      <c r="B760" s="0" t="s">
        <v>851</v>
      </c>
      <c r="C760" s="0" t="s">
        <v>17</v>
      </c>
      <c r="D760" s="0" t="s">
        <v>109</v>
      </c>
      <c r="E760" s="58" t="str">
        <f aca="false">VLOOKUP(D760,Models!$A$2:$B$13,2,0)</f>
        <v>55-inch QLED TV</v>
      </c>
      <c r="F760" s="0" t="s">
        <v>72</v>
      </c>
      <c r="G760" s="58" t="str">
        <f aca="false">VLOOKUP(F760,Countries!$A$2:$B$11,2,0)</f>
        <v>Kenya</v>
      </c>
      <c r="H760" s="13" t="n">
        <v>30</v>
      </c>
      <c r="I760" s="13" t="n">
        <v>468000</v>
      </c>
      <c r="J760" s="0" t="s">
        <v>14</v>
      </c>
      <c r="K760" s="0" t="s">
        <v>753</v>
      </c>
    </row>
    <row r="761" customFormat="false" ht="12.8" hidden="false" customHeight="false" outlineLevel="0" collapsed="false">
      <c r="A761" s="57" t="n">
        <v>46259</v>
      </c>
      <c r="B761" s="0" t="s">
        <v>852</v>
      </c>
      <c r="C761" s="0" t="s">
        <v>17</v>
      </c>
      <c r="D761" s="0" t="s">
        <v>77</v>
      </c>
      <c r="E761" s="58" t="str">
        <f aca="false">VLOOKUP(D761,Models!$A$2:$B$13,2,0)</f>
        <v>65-inch QLED TV</v>
      </c>
      <c r="F761" s="0" t="s">
        <v>79</v>
      </c>
      <c r="G761" s="58" t="str">
        <f aca="false">VLOOKUP(F761,Countries!$A$2:$B$11,2,0)</f>
        <v>Iraq</v>
      </c>
      <c r="H761" s="13" t="n">
        <v>17</v>
      </c>
      <c r="I761" s="13" t="n">
        <v>416500</v>
      </c>
      <c r="J761" s="0" t="s">
        <v>14</v>
      </c>
      <c r="K761" s="0" t="s">
        <v>753</v>
      </c>
    </row>
    <row r="762" customFormat="false" ht="12.8" hidden="false" customHeight="false" outlineLevel="0" collapsed="false">
      <c r="A762" s="57" t="n">
        <v>46259</v>
      </c>
      <c r="B762" s="0" t="s">
        <v>853</v>
      </c>
      <c r="C762" s="0" t="s">
        <v>17</v>
      </c>
      <c r="D762" s="0" t="s">
        <v>77</v>
      </c>
      <c r="E762" s="58" t="str">
        <f aca="false">VLOOKUP(D762,Models!$A$2:$B$13,2,0)</f>
        <v>65-inch QLED TV</v>
      </c>
      <c r="F762" s="0" t="s">
        <v>69</v>
      </c>
      <c r="G762" s="58" t="str">
        <f aca="false">VLOOKUP(F762,Countries!$A$2:$B$11,2,0)</f>
        <v>Egypt</v>
      </c>
      <c r="H762" s="13" t="n">
        <v>13</v>
      </c>
      <c r="I762" s="13" t="n">
        <v>318500</v>
      </c>
      <c r="J762" s="0" t="s">
        <v>14</v>
      </c>
      <c r="K762" s="0" t="s">
        <v>753</v>
      </c>
    </row>
    <row r="763" customFormat="false" ht="12.8" hidden="false" customHeight="false" outlineLevel="0" collapsed="false">
      <c r="A763" s="57" t="n">
        <v>46259</v>
      </c>
      <c r="B763" s="0" t="s">
        <v>854</v>
      </c>
      <c r="C763" s="0" t="s">
        <v>17</v>
      </c>
      <c r="D763" s="0" t="s">
        <v>92</v>
      </c>
      <c r="E763" s="58" t="str">
        <f aca="false">VLOOKUP(D763,Models!$A$2:$B$13,2,0)</f>
        <v>65-inch 4K TV</v>
      </c>
      <c r="F763" s="0" t="s">
        <v>101</v>
      </c>
      <c r="G763" s="58" t="str">
        <f aca="false">VLOOKUP(F763,Countries!$A$2:$B$11,2,0)</f>
        <v>Kuwait</v>
      </c>
      <c r="H763" s="13" t="n">
        <v>11</v>
      </c>
      <c r="I763" s="13" t="n">
        <v>217800</v>
      </c>
      <c r="J763" s="0" t="s">
        <v>14</v>
      </c>
      <c r="K763" s="0" t="s">
        <v>753</v>
      </c>
    </row>
    <row r="764" customFormat="false" ht="12.8" hidden="false" customHeight="false" outlineLevel="0" collapsed="false">
      <c r="A764" s="57" t="n">
        <v>46259</v>
      </c>
      <c r="B764" s="0" t="s">
        <v>855</v>
      </c>
      <c r="C764" s="0" t="s">
        <v>19</v>
      </c>
      <c r="D764" s="0" t="s">
        <v>88</v>
      </c>
      <c r="E764" s="58" t="str">
        <f aca="false">VLOOKUP(D764,Models!$A$2:$B$13,2,0)</f>
        <v>24-inch HD TV</v>
      </c>
      <c r="F764" s="0" t="s">
        <v>69</v>
      </c>
      <c r="G764" s="58" t="str">
        <f aca="false">VLOOKUP(F764,Countries!$A$2:$B$11,2,0)</f>
        <v>Egypt</v>
      </c>
      <c r="H764" s="13" t="n">
        <v>22</v>
      </c>
      <c r="I764" s="13" t="n">
        <v>63800</v>
      </c>
      <c r="J764" s="0" t="s">
        <v>14</v>
      </c>
      <c r="K764" s="0" t="s">
        <v>753</v>
      </c>
    </row>
    <row r="765" customFormat="false" ht="12.8" hidden="false" customHeight="false" outlineLevel="0" collapsed="false">
      <c r="A765" s="57" t="n">
        <v>46259</v>
      </c>
      <c r="B765" s="0" t="s">
        <v>856</v>
      </c>
      <c r="C765" s="0" t="s">
        <v>20</v>
      </c>
      <c r="D765" s="0" t="s">
        <v>74</v>
      </c>
      <c r="E765" s="58" t="str">
        <f aca="false">VLOOKUP(D765,Models!$A$2:$B$13,2,0)</f>
        <v>40-inch Full HD TV</v>
      </c>
      <c r="F765" s="0" t="s">
        <v>98</v>
      </c>
      <c r="G765" s="58" t="str">
        <f aca="false">VLOOKUP(F765,Countries!$A$2:$B$11,2,0)</f>
        <v>Libya</v>
      </c>
      <c r="H765" s="13" t="n">
        <v>42</v>
      </c>
      <c r="I765" s="13" t="n">
        <v>260400</v>
      </c>
      <c r="J765" s="0" t="s">
        <v>14</v>
      </c>
      <c r="K765" s="0" t="s">
        <v>753</v>
      </c>
    </row>
    <row r="766" customFormat="false" ht="12.8" hidden="false" customHeight="false" outlineLevel="0" collapsed="false">
      <c r="A766" s="57" t="n">
        <v>46259</v>
      </c>
      <c r="B766" s="0" t="s">
        <v>857</v>
      </c>
      <c r="C766" s="0" t="s">
        <v>20</v>
      </c>
      <c r="D766" s="0" t="s">
        <v>95</v>
      </c>
      <c r="E766" s="58" t="str">
        <f aca="false">VLOOKUP(D766,Models!$A$2:$B$13,2,0)</f>
        <v>32-inch HD TV</v>
      </c>
      <c r="F766" s="0" t="s">
        <v>69</v>
      </c>
      <c r="G766" s="58" t="str">
        <f aca="false">VLOOKUP(F766,Countries!$A$2:$B$11,2,0)</f>
        <v>Egypt</v>
      </c>
      <c r="H766" s="13" t="n">
        <v>53</v>
      </c>
      <c r="I766" s="13" t="n">
        <v>206700</v>
      </c>
      <c r="J766" s="0" t="s">
        <v>14</v>
      </c>
      <c r="K766" s="0" t="s">
        <v>753</v>
      </c>
    </row>
    <row r="767" customFormat="false" ht="12.8" hidden="false" customHeight="false" outlineLevel="0" collapsed="false">
      <c r="A767" s="57" t="n">
        <v>46259</v>
      </c>
      <c r="B767" s="0" t="s">
        <v>858</v>
      </c>
      <c r="C767" s="0" t="s">
        <v>20</v>
      </c>
      <c r="D767" s="0" t="s">
        <v>64</v>
      </c>
      <c r="E767" s="58" t="str">
        <f aca="false">VLOOKUP(D767,Models!$A$2:$B$13,2,0)</f>
        <v>32-inch Smart TV</v>
      </c>
      <c r="F767" s="0" t="s">
        <v>75</v>
      </c>
      <c r="G767" s="58" t="str">
        <f aca="false">VLOOKUP(F767,Countries!$A$2:$B$11,2,0)</f>
        <v>Nigeria</v>
      </c>
      <c r="H767" s="13" t="n">
        <v>47</v>
      </c>
      <c r="I767" s="13" t="n">
        <v>216200</v>
      </c>
      <c r="J767" s="0" t="s">
        <v>14</v>
      </c>
      <c r="K767" s="0" t="s">
        <v>753</v>
      </c>
    </row>
    <row r="768" customFormat="false" ht="12.8" hidden="false" customHeight="false" outlineLevel="0" collapsed="false">
      <c r="A768" s="57" t="n">
        <v>46259</v>
      </c>
      <c r="B768" s="0" t="s">
        <v>859</v>
      </c>
      <c r="C768" s="0" t="s">
        <v>20</v>
      </c>
      <c r="D768" s="0" t="s">
        <v>74</v>
      </c>
      <c r="E768" s="58" t="str">
        <f aca="false">VLOOKUP(D768,Models!$A$2:$B$13,2,0)</f>
        <v>40-inch Full HD TV</v>
      </c>
      <c r="F768" s="0" t="s">
        <v>69</v>
      </c>
      <c r="G768" s="58" t="str">
        <f aca="false">VLOOKUP(F768,Countries!$A$2:$B$11,2,0)</f>
        <v>Egypt</v>
      </c>
      <c r="H768" s="13" t="n">
        <v>22</v>
      </c>
      <c r="I768" s="13" t="n">
        <v>136400</v>
      </c>
      <c r="J768" s="0" t="s">
        <v>14</v>
      </c>
      <c r="K768" s="0" t="s">
        <v>753</v>
      </c>
    </row>
    <row r="769" customFormat="false" ht="12.8" hidden="false" customHeight="false" outlineLevel="0" collapsed="false">
      <c r="A769" s="57" t="n">
        <v>46259</v>
      </c>
      <c r="B769" s="0" t="s">
        <v>860</v>
      </c>
      <c r="C769" s="0" t="s">
        <v>21</v>
      </c>
      <c r="D769" s="0" t="s">
        <v>68</v>
      </c>
      <c r="E769" s="58" t="str">
        <f aca="false">VLOOKUP(D769,Models!$A$2:$B$13,2,0)</f>
        <v>50-inch 4K TV</v>
      </c>
      <c r="F769" s="0" t="s">
        <v>65</v>
      </c>
      <c r="G769" s="58" t="str">
        <f aca="false">VLOOKUP(F769,Countries!$A$2:$B$11,2,0)</f>
        <v>Jordan</v>
      </c>
      <c r="H769" s="13" t="n">
        <v>12</v>
      </c>
      <c r="I769" s="13" t="n">
        <v>124800</v>
      </c>
      <c r="J769" s="0" t="s">
        <v>14</v>
      </c>
      <c r="K769" s="0" t="s">
        <v>753</v>
      </c>
    </row>
    <row r="770" customFormat="false" ht="12.8" hidden="false" customHeight="false" outlineLevel="0" collapsed="false">
      <c r="A770" s="57" t="n">
        <v>46259</v>
      </c>
      <c r="B770" s="0" t="s">
        <v>861</v>
      </c>
      <c r="C770" s="0" t="s">
        <v>21</v>
      </c>
      <c r="D770" s="0" t="s">
        <v>88</v>
      </c>
      <c r="E770" s="58" t="str">
        <f aca="false">VLOOKUP(D770,Models!$A$2:$B$13,2,0)</f>
        <v>24-inch HD TV</v>
      </c>
      <c r="F770" s="0" t="s">
        <v>65</v>
      </c>
      <c r="G770" s="58" t="str">
        <f aca="false">VLOOKUP(F770,Countries!$A$2:$B$11,2,0)</f>
        <v>Jordan</v>
      </c>
      <c r="H770" s="13" t="n">
        <v>21</v>
      </c>
      <c r="I770" s="13" t="n">
        <v>60900</v>
      </c>
      <c r="J770" s="0" t="s">
        <v>14</v>
      </c>
      <c r="K770" s="0" t="s">
        <v>753</v>
      </c>
    </row>
    <row r="771" customFormat="false" ht="12.8" hidden="false" customHeight="false" outlineLevel="0" collapsed="false">
      <c r="A771" s="57" t="n">
        <v>46260</v>
      </c>
      <c r="B771" s="0" t="s">
        <v>862</v>
      </c>
      <c r="C771" s="0" t="s">
        <v>13</v>
      </c>
      <c r="D771" s="0" t="s">
        <v>85</v>
      </c>
      <c r="E771" s="58" t="str">
        <f aca="false">VLOOKUP(D771,Models!$A$2:$B$13,2,0)</f>
        <v>75-inch 4K TV</v>
      </c>
      <c r="F771" s="0" t="s">
        <v>69</v>
      </c>
      <c r="G771" s="58" t="str">
        <f aca="false">VLOOKUP(F771,Countries!$A$2:$B$11,2,0)</f>
        <v>Egypt</v>
      </c>
      <c r="H771" s="13" t="n">
        <v>10</v>
      </c>
      <c r="I771" s="13" t="n">
        <v>312000</v>
      </c>
      <c r="J771" s="0" t="s">
        <v>14</v>
      </c>
      <c r="K771" s="0" t="s">
        <v>863</v>
      </c>
    </row>
    <row r="772" customFormat="false" ht="12.8" hidden="false" customHeight="false" outlineLevel="0" collapsed="false">
      <c r="A772" s="57" t="n">
        <v>46260</v>
      </c>
      <c r="B772" s="0" t="s">
        <v>864</v>
      </c>
      <c r="C772" s="0" t="s">
        <v>13</v>
      </c>
      <c r="D772" s="0" t="s">
        <v>71</v>
      </c>
      <c r="E772" s="58" t="str">
        <f aca="false">VLOOKUP(D772,Models!$A$2:$B$13,2,0)</f>
        <v>43-inch Full HD TV</v>
      </c>
      <c r="F772" s="0" t="s">
        <v>177</v>
      </c>
      <c r="G772" s="58" t="str">
        <f aca="false">VLOOKUP(F772,Countries!$A$2:$B$11,2,0)</f>
        <v>Saudi Arabia</v>
      </c>
      <c r="H772" s="13" t="n">
        <v>13</v>
      </c>
      <c r="I772" s="13" t="n">
        <v>89700</v>
      </c>
      <c r="J772" s="0" t="s">
        <v>14</v>
      </c>
      <c r="K772" s="0" t="s">
        <v>863</v>
      </c>
    </row>
    <row r="773" customFormat="false" ht="12.8" hidden="false" customHeight="false" outlineLevel="0" collapsed="false">
      <c r="A773" s="57" t="n">
        <v>46260</v>
      </c>
      <c r="B773" s="0" t="s">
        <v>865</v>
      </c>
      <c r="C773" s="0" t="s">
        <v>13</v>
      </c>
      <c r="D773" s="0" t="s">
        <v>71</v>
      </c>
      <c r="E773" s="58" t="str">
        <f aca="false">VLOOKUP(D773,Models!$A$2:$B$13,2,0)</f>
        <v>43-inch Full HD TV</v>
      </c>
      <c r="F773" s="0" t="s">
        <v>69</v>
      </c>
      <c r="G773" s="58" t="str">
        <f aca="false">VLOOKUP(F773,Countries!$A$2:$B$11,2,0)</f>
        <v>Egypt</v>
      </c>
      <c r="H773" s="13" t="n">
        <v>5</v>
      </c>
      <c r="I773" s="13" t="n">
        <v>34500</v>
      </c>
      <c r="J773" s="0" t="s">
        <v>14</v>
      </c>
      <c r="K773" s="0" t="s">
        <v>863</v>
      </c>
    </row>
    <row r="774" customFormat="false" ht="12.8" hidden="false" customHeight="false" outlineLevel="0" collapsed="false">
      <c r="A774" s="57" t="n">
        <v>46260</v>
      </c>
      <c r="B774" s="0" t="s">
        <v>866</v>
      </c>
      <c r="C774" s="0" t="s">
        <v>15</v>
      </c>
      <c r="D774" s="0" t="s">
        <v>71</v>
      </c>
      <c r="E774" s="58" t="str">
        <f aca="false">VLOOKUP(D774,Models!$A$2:$B$13,2,0)</f>
        <v>43-inch Full HD TV</v>
      </c>
      <c r="F774" s="0" t="s">
        <v>69</v>
      </c>
      <c r="G774" s="58" t="str">
        <f aca="false">VLOOKUP(F774,Countries!$A$2:$B$11,2,0)</f>
        <v>Egypt</v>
      </c>
      <c r="H774" s="13" t="n">
        <v>42</v>
      </c>
      <c r="I774" s="13" t="n">
        <v>289800</v>
      </c>
      <c r="J774" s="0" t="s">
        <v>14</v>
      </c>
      <c r="K774" s="0" t="s">
        <v>863</v>
      </c>
    </row>
    <row r="775" customFormat="false" ht="12.8" hidden="false" customHeight="false" outlineLevel="0" collapsed="false">
      <c r="A775" s="57" t="n">
        <v>46260</v>
      </c>
      <c r="B775" s="0" t="s">
        <v>867</v>
      </c>
      <c r="C775" s="0" t="s">
        <v>15</v>
      </c>
      <c r="D775" s="0" t="s">
        <v>88</v>
      </c>
      <c r="E775" s="58" t="str">
        <f aca="false">VLOOKUP(D775,Models!$A$2:$B$13,2,0)</f>
        <v>24-inch HD TV</v>
      </c>
      <c r="F775" s="0" t="s">
        <v>101</v>
      </c>
      <c r="G775" s="58" t="str">
        <f aca="false">VLOOKUP(F775,Countries!$A$2:$B$11,2,0)</f>
        <v>Kuwait</v>
      </c>
      <c r="H775" s="13" t="n">
        <v>32</v>
      </c>
      <c r="I775" s="13" t="n">
        <v>92800</v>
      </c>
      <c r="J775" s="0" t="s">
        <v>14</v>
      </c>
      <c r="K775" s="0" t="s">
        <v>863</v>
      </c>
    </row>
    <row r="776" customFormat="false" ht="12.8" hidden="false" customHeight="false" outlineLevel="0" collapsed="false">
      <c r="A776" s="57" t="n">
        <v>46260</v>
      </c>
      <c r="B776" s="0" t="s">
        <v>868</v>
      </c>
      <c r="C776" s="0" t="s">
        <v>15</v>
      </c>
      <c r="D776" s="0" t="s">
        <v>77</v>
      </c>
      <c r="E776" s="58" t="str">
        <f aca="false">VLOOKUP(D776,Models!$A$2:$B$13,2,0)</f>
        <v>65-inch QLED TV</v>
      </c>
      <c r="F776" s="0" t="s">
        <v>101</v>
      </c>
      <c r="G776" s="58" t="str">
        <f aca="false">VLOOKUP(F776,Countries!$A$2:$B$11,2,0)</f>
        <v>Kuwait</v>
      </c>
      <c r="H776" s="13" t="n">
        <v>5</v>
      </c>
      <c r="I776" s="13" t="n">
        <v>122500</v>
      </c>
      <c r="J776" s="0" t="s">
        <v>14</v>
      </c>
      <c r="K776" s="0" t="s">
        <v>863</v>
      </c>
    </row>
    <row r="777" customFormat="false" ht="12.8" hidden="false" customHeight="false" outlineLevel="0" collapsed="false">
      <c r="A777" s="57" t="n">
        <v>46260</v>
      </c>
      <c r="B777" s="0" t="s">
        <v>869</v>
      </c>
      <c r="C777" s="0" t="s">
        <v>15</v>
      </c>
      <c r="D777" s="0" t="s">
        <v>64</v>
      </c>
      <c r="E777" s="58" t="str">
        <f aca="false">VLOOKUP(D777,Models!$A$2:$B$13,2,0)</f>
        <v>32-inch Smart TV</v>
      </c>
      <c r="F777" s="0" t="s">
        <v>69</v>
      </c>
      <c r="G777" s="58" t="str">
        <f aca="false">VLOOKUP(F777,Countries!$A$2:$B$11,2,0)</f>
        <v>Egypt</v>
      </c>
      <c r="H777" s="13" t="n">
        <v>15</v>
      </c>
      <c r="I777" s="13" t="n">
        <v>69000</v>
      </c>
      <c r="J777" s="0" t="s">
        <v>14</v>
      </c>
      <c r="K777" s="0" t="s">
        <v>863</v>
      </c>
    </row>
    <row r="778" customFormat="false" ht="12.8" hidden="false" customHeight="false" outlineLevel="0" collapsed="false">
      <c r="A778" s="57" t="n">
        <v>46260</v>
      </c>
      <c r="B778" s="0" t="s">
        <v>870</v>
      </c>
      <c r="C778" s="0" t="s">
        <v>17</v>
      </c>
      <c r="D778" s="0" t="s">
        <v>77</v>
      </c>
      <c r="E778" s="58" t="str">
        <f aca="false">VLOOKUP(D778,Models!$A$2:$B$13,2,0)</f>
        <v>65-inch QLED TV</v>
      </c>
      <c r="F778" s="0" t="s">
        <v>72</v>
      </c>
      <c r="G778" s="58" t="str">
        <f aca="false">VLOOKUP(F778,Countries!$A$2:$B$11,2,0)</f>
        <v>Kenya</v>
      </c>
      <c r="H778" s="13" t="n">
        <v>17</v>
      </c>
      <c r="I778" s="13" t="n">
        <v>416500</v>
      </c>
      <c r="J778" s="0" t="s">
        <v>14</v>
      </c>
      <c r="K778" s="0" t="s">
        <v>863</v>
      </c>
    </row>
    <row r="779" customFormat="false" ht="12.8" hidden="false" customHeight="false" outlineLevel="0" collapsed="false">
      <c r="A779" s="57" t="n">
        <v>46260</v>
      </c>
      <c r="B779" s="0" t="s">
        <v>871</v>
      </c>
      <c r="C779" s="0" t="s">
        <v>17</v>
      </c>
      <c r="D779" s="0" t="s">
        <v>68</v>
      </c>
      <c r="E779" s="58" t="str">
        <f aca="false">VLOOKUP(D779,Models!$A$2:$B$13,2,0)</f>
        <v>50-inch 4K TV</v>
      </c>
      <c r="F779" s="0" t="s">
        <v>69</v>
      </c>
      <c r="G779" s="58" t="str">
        <f aca="false">VLOOKUP(F779,Countries!$A$2:$B$11,2,0)</f>
        <v>Egypt</v>
      </c>
      <c r="H779" s="13" t="n">
        <v>8</v>
      </c>
      <c r="I779" s="13" t="n">
        <v>83200</v>
      </c>
      <c r="J779" s="0" t="s">
        <v>14</v>
      </c>
      <c r="K779" s="0" t="s">
        <v>863</v>
      </c>
    </row>
    <row r="780" customFormat="false" ht="12.8" hidden="false" customHeight="false" outlineLevel="0" collapsed="false">
      <c r="A780" s="57" t="n">
        <v>46260</v>
      </c>
      <c r="B780" s="0" t="s">
        <v>872</v>
      </c>
      <c r="C780" s="0" t="s">
        <v>17</v>
      </c>
      <c r="D780" s="0" t="s">
        <v>88</v>
      </c>
      <c r="E780" s="58" t="str">
        <f aca="false">VLOOKUP(D780,Models!$A$2:$B$13,2,0)</f>
        <v>24-inch HD TV</v>
      </c>
      <c r="F780" s="0" t="s">
        <v>177</v>
      </c>
      <c r="G780" s="58" t="str">
        <f aca="false">VLOOKUP(F780,Countries!$A$2:$B$11,2,0)</f>
        <v>Saudi Arabia</v>
      </c>
      <c r="H780" s="13" t="n">
        <v>55</v>
      </c>
      <c r="I780" s="13" t="n">
        <v>159500</v>
      </c>
      <c r="J780" s="0" t="s">
        <v>14</v>
      </c>
      <c r="K780" s="0" t="s">
        <v>863</v>
      </c>
    </row>
    <row r="781" customFormat="false" ht="12.8" hidden="false" customHeight="false" outlineLevel="0" collapsed="false">
      <c r="A781" s="57" t="n">
        <v>46260</v>
      </c>
      <c r="B781" s="0" t="s">
        <v>873</v>
      </c>
      <c r="C781" s="0" t="s">
        <v>17</v>
      </c>
      <c r="D781" s="0" t="s">
        <v>85</v>
      </c>
      <c r="E781" s="58" t="str">
        <f aca="false">VLOOKUP(D781,Models!$A$2:$B$13,2,0)</f>
        <v>75-inch 4K TV</v>
      </c>
      <c r="F781" s="0" t="s">
        <v>75</v>
      </c>
      <c r="G781" s="58" t="str">
        <f aca="false">VLOOKUP(F781,Countries!$A$2:$B$11,2,0)</f>
        <v>Nigeria</v>
      </c>
      <c r="H781" s="13" t="n">
        <v>15</v>
      </c>
      <c r="I781" s="13" t="n">
        <v>468000</v>
      </c>
      <c r="J781" s="0" t="s">
        <v>14</v>
      </c>
      <c r="K781" s="0" t="s">
        <v>863</v>
      </c>
    </row>
    <row r="782" customFormat="false" ht="12.8" hidden="false" customHeight="false" outlineLevel="0" collapsed="false">
      <c r="A782" s="57" t="n">
        <v>46260</v>
      </c>
      <c r="B782" s="0" t="s">
        <v>874</v>
      </c>
      <c r="C782" s="0" t="s">
        <v>19</v>
      </c>
      <c r="D782" s="0" t="s">
        <v>85</v>
      </c>
      <c r="E782" s="58" t="str">
        <f aca="false">VLOOKUP(D782,Models!$A$2:$B$13,2,0)</f>
        <v>75-inch 4K TV</v>
      </c>
      <c r="F782" s="0" t="s">
        <v>69</v>
      </c>
      <c r="G782" s="58" t="str">
        <f aca="false">VLOOKUP(F782,Countries!$A$2:$B$11,2,0)</f>
        <v>Egypt</v>
      </c>
      <c r="H782" s="13" t="n">
        <v>7</v>
      </c>
      <c r="I782" s="13" t="n">
        <v>218400</v>
      </c>
      <c r="J782" s="0" t="s">
        <v>14</v>
      </c>
      <c r="K782" s="0" t="s">
        <v>863</v>
      </c>
    </row>
    <row r="783" customFormat="false" ht="12.8" hidden="false" customHeight="false" outlineLevel="0" collapsed="false">
      <c r="A783" s="57" t="n">
        <v>46260</v>
      </c>
      <c r="B783" s="0" t="s">
        <v>875</v>
      </c>
      <c r="C783" s="0" t="s">
        <v>20</v>
      </c>
      <c r="D783" s="0" t="s">
        <v>95</v>
      </c>
      <c r="E783" s="58" t="str">
        <f aca="false">VLOOKUP(D783,Models!$A$2:$B$13,2,0)</f>
        <v>32-inch HD TV</v>
      </c>
      <c r="F783" s="0" t="s">
        <v>69</v>
      </c>
      <c r="G783" s="58" t="str">
        <f aca="false">VLOOKUP(F783,Countries!$A$2:$B$11,2,0)</f>
        <v>Egypt</v>
      </c>
      <c r="H783" s="13" t="n">
        <v>61</v>
      </c>
      <c r="I783" s="13" t="n">
        <v>237900</v>
      </c>
      <c r="J783" s="0" t="s">
        <v>14</v>
      </c>
      <c r="K783" s="0" t="s">
        <v>863</v>
      </c>
    </row>
    <row r="784" customFormat="false" ht="12.8" hidden="false" customHeight="false" outlineLevel="0" collapsed="false">
      <c r="A784" s="57" t="n">
        <v>46260</v>
      </c>
      <c r="B784" s="0" t="s">
        <v>876</v>
      </c>
      <c r="C784" s="0" t="s">
        <v>20</v>
      </c>
      <c r="D784" s="0" t="s">
        <v>71</v>
      </c>
      <c r="E784" s="58" t="str">
        <f aca="false">VLOOKUP(D784,Models!$A$2:$B$13,2,0)</f>
        <v>43-inch Full HD TV</v>
      </c>
      <c r="F784" s="0" t="s">
        <v>69</v>
      </c>
      <c r="G784" s="58" t="str">
        <f aca="false">VLOOKUP(F784,Countries!$A$2:$B$11,2,0)</f>
        <v>Egypt</v>
      </c>
      <c r="H784" s="13" t="n">
        <v>19</v>
      </c>
      <c r="I784" s="13" t="n">
        <v>131100</v>
      </c>
      <c r="J784" s="0" t="s">
        <v>14</v>
      </c>
      <c r="K784" s="0" t="s">
        <v>863</v>
      </c>
    </row>
    <row r="785" customFormat="false" ht="12.8" hidden="false" customHeight="false" outlineLevel="0" collapsed="false">
      <c r="A785" s="57" t="n">
        <v>46260</v>
      </c>
      <c r="B785" s="0" t="s">
        <v>877</v>
      </c>
      <c r="C785" s="0" t="s">
        <v>20</v>
      </c>
      <c r="D785" s="0" t="s">
        <v>68</v>
      </c>
      <c r="E785" s="58" t="str">
        <f aca="false">VLOOKUP(D785,Models!$A$2:$B$13,2,0)</f>
        <v>50-inch 4K TV</v>
      </c>
      <c r="F785" s="0" t="s">
        <v>83</v>
      </c>
      <c r="G785" s="58" t="str">
        <f aca="false">VLOOKUP(F785,Countries!$A$2:$B$11,2,0)</f>
        <v>United Arab Emirates</v>
      </c>
      <c r="H785" s="13" t="n">
        <v>22</v>
      </c>
      <c r="I785" s="13" t="n">
        <v>228800</v>
      </c>
      <c r="J785" s="0" t="s">
        <v>14</v>
      </c>
      <c r="K785" s="0" t="s">
        <v>863</v>
      </c>
    </row>
    <row r="786" customFormat="false" ht="12.8" hidden="false" customHeight="false" outlineLevel="0" collapsed="false">
      <c r="A786" s="57" t="n">
        <v>46260</v>
      </c>
      <c r="B786" s="0" t="s">
        <v>878</v>
      </c>
      <c r="C786" s="0" t="s">
        <v>21</v>
      </c>
      <c r="D786" s="0" t="s">
        <v>64</v>
      </c>
      <c r="E786" s="58" t="str">
        <f aca="false">VLOOKUP(D786,Models!$A$2:$B$13,2,0)</f>
        <v>32-inch Smart TV</v>
      </c>
      <c r="F786" s="0" t="s">
        <v>69</v>
      </c>
      <c r="G786" s="58" t="str">
        <f aca="false">VLOOKUP(F786,Countries!$A$2:$B$11,2,0)</f>
        <v>Egypt</v>
      </c>
      <c r="H786" s="13" t="n">
        <v>64</v>
      </c>
      <c r="I786" s="13" t="n">
        <v>294400</v>
      </c>
      <c r="J786" s="0" t="s">
        <v>14</v>
      </c>
      <c r="K786" s="0" t="s">
        <v>863</v>
      </c>
    </row>
    <row r="787" customFormat="false" ht="12.8" hidden="false" customHeight="false" outlineLevel="0" collapsed="false">
      <c r="A787" s="57" t="n">
        <v>46260</v>
      </c>
      <c r="B787" s="0" t="s">
        <v>879</v>
      </c>
      <c r="C787" s="0" t="s">
        <v>21</v>
      </c>
      <c r="D787" s="0" t="s">
        <v>71</v>
      </c>
      <c r="E787" s="58" t="str">
        <f aca="false">VLOOKUP(D787,Models!$A$2:$B$13,2,0)</f>
        <v>43-inch Full HD TV</v>
      </c>
      <c r="F787" s="0" t="s">
        <v>69</v>
      </c>
      <c r="G787" s="58" t="str">
        <f aca="false">VLOOKUP(F787,Countries!$A$2:$B$11,2,0)</f>
        <v>Egypt</v>
      </c>
      <c r="H787" s="13" t="n">
        <v>13</v>
      </c>
      <c r="I787" s="13" t="n">
        <v>89700</v>
      </c>
      <c r="J787" s="0" t="s">
        <v>14</v>
      </c>
      <c r="K787" s="0" t="s">
        <v>863</v>
      </c>
    </row>
    <row r="788" customFormat="false" ht="12.8" hidden="false" customHeight="false" outlineLevel="0" collapsed="false">
      <c r="A788" s="57" t="n">
        <v>46260</v>
      </c>
      <c r="B788" s="0" t="s">
        <v>880</v>
      </c>
      <c r="C788" s="0" t="s">
        <v>21</v>
      </c>
      <c r="D788" s="0" t="s">
        <v>92</v>
      </c>
      <c r="E788" s="58" t="str">
        <f aca="false">VLOOKUP(D788,Models!$A$2:$B$13,2,0)</f>
        <v>65-inch 4K TV</v>
      </c>
      <c r="F788" s="0" t="s">
        <v>98</v>
      </c>
      <c r="G788" s="58" t="str">
        <f aca="false">VLOOKUP(F788,Countries!$A$2:$B$11,2,0)</f>
        <v>Libya</v>
      </c>
      <c r="H788" s="13" t="n">
        <v>8</v>
      </c>
      <c r="I788" s="13" t="n">
        <v>158400</v>
      </c>
      <c r="J788" s="0" t="s">
        <v>14</v>
      </c>
      <c r="K788" s="0" t="s">
        <v>863</v>
      </c>
    </row>
    <row r="789" customFormat="false" ht="12.8" hidden="false" customHeight="false" outlineLevel="0" collapsed="false">
      <c r="A789" s="57" t="n">
        <v>46261</v>
      </c>
      <c r="B789" s="0" t="s">
        <v>881</v>
      </c>
      <c r="C789" s="0" t="s">
        <v>13</v>
      </c>
      <c r="D789" s="0" t="s">
        <v>81</v>
      </c>
      <c r="E789" s="58" t="str">
        <f aca="false">VLOOKUP(D789,Models!$A$2:$B$13,2,0)</f>
        <v>43-inch Smart TV</v>
      </c>
      <c r="F789" s="0" t="s">
        <v>79</v>
      </c>
      <c r="G789" s="58" t="str">
        <f aca="false">VLOOKUP(F789,Countries!$A$2:$B$11,2,0)</f>
        <v>Iraq</v>
      </c>
      <c r="H789" s="13" t="n">
        <v>35</v>
      </c>
      <c r="I789" s="13" t="n">
        <v>273000</v>
      </c>
      <c r="J789" s="0" t="s">
        <v>14</v>
      </c>
      <c r="K789" s="0" t="s">
        <v>863</v>
      </c>
    </row>
    <row r="790" customFormat="false" ht="12.8" hidden="false" customHeight="false" outlineLevel="0" collapsed="false">
      <c r="A790" s="57" t="n">
        <v>46261</v>
      </c>
      <c r="B790" s="0" t="s">
        <v>882</v>
      </c>
      <c r="C790" s="0" t="s">
        <v>15</v>
      </c>
      <c r="D790" s="0" t="s">
        <v>77</v>
      </c>
      <c r="E790" s="58" t="str">
        <f aca="false">VLOOKUP(D790,Models!$A$2:$B$13,2,0)</f>
        <v>65-inch QLED TV</v>
      </c>
      <c r="F790" s="0" t="s">
        <v>65</v>
      </c>
      <c r="G790" s="58" t="str">
        <f aca="false">VLOOKUP(F790,Countries!$A$2:$B$11,2,0)</f>
        <v>Jordan</v>
      </c>
      <c r="H790" s="13" t="n">
        <v>21</v>
      </c>
      <c r="I790" s="13" t="n">
        <v>514500</v>
      </c>
      <c r="J790" s="0" t="s">
        <v>14</v>
      </c>
      <c r="K790" s="0" t="s">
        <v>863</v>
      </c>
    </row>
    <row r="791" customFormat="false" ht="12.8" hidden="false" customHeight="false" outlineLevel="0" collapsed="false">
      <c r="A791" s="57" t="n">
        <v>46261</v>
      </c>
      <c r="B791" s="0" t="s">
        <v>883</v>
      </c>
      <c r="C791" s="0" t="s">
        <v>15</v>
      </c>
      <c r="D791" s="0" t="s">
        <v>64</v>
      </c>
      <c r="E791" s="58" t="str">
        <f aca="false">VLOOKUP(D791,Models!$A$2:$B$13,2,0)</f>
        <v>32-inch Smart TV</v>
      </c>
      <c r="F791" s="0" t="s">
        <v>69</v>
      </c>
      <c r="G791" s="58" t="str">
        <f aca="false">VLOOKUP(F791,Countries!$A$2:$B$11,2,0)</f>
        <v>Egypt</v>
      </c>
      <c r="H791" s="13" t="n">
        <v>44</v>
      </c>
      <c r="I791" s="13" t="n">
        <v>202400</v>
      </c>
      <c r="J791" s="0" t="s">
        <v>14</v>
      </c>
      <c r="K791" s="0" t="s">
        <v>863</v>
      </c>
    </row>
    <row r="792" customFormat="false" ht="12.8" hidden="false" customHeight="false" outlineLevel="0" collapsed="false">
      <c r="A792" s="57" t="n">
        <v>46261</v>
      </c>
      <c r="B792" s="0" t="s">
        <v>884</v>
      </c>
      <c r="C792" s="0" t="s">
        <v>17</v>
      </c>
      <c r="D792" s="0" t="s">
        <v>77</v>
      </c>
      <c r="E792" s="58" t="str">
        <f aca="false">VLOOKUP(D792,Models!$A$2:$B$13,2,0)</f>
        <v>65-inch QLED TV</v>
      </c>
      <c r="F792" s="0" t="s">
        <v>103</v>
      </c>
      <c r="G792" s="58" t="str">
        <f aca="false">VLOOKUP(F792,Countries!$A$2:$B$11,2,0)</f>
        <v>Morocco</v>
      </c>
      <c r="H792" s="13" t="n">
        <v>9</v>
      </c>
      <c r="I792" s="13" t="n">
        <v>220500</v>
      </c>
      <c r="J792" s="0" t="s">
        <v>14</v>
      </c>
      <c r="K792" s="0" t="s">
        <v>863</v>
      </c>
    </row>
    <row r="793" customFormat="false" ht="12.8" hidden="false" customHeight="false" outlineLevel="0" collapsed="false">
      <c r="A793" s="57" t="n">
        <v>46261</v>
      </c>
      <c r="B793" s="0" t="s">
        <v>885</v>
      </c>
      <c r="C793" s="0" t="s">
        <v>17</v>
      </c>
      <c r="D793" s="0" t="s">
        <v>81</v>
      </c>
      <c r="E793" s="58" t="str">
        <f aca="false">VLOOKUP(D793,Models!$A$2:$B$13,2,0)</f>
        <v>43-inch Smart TV</v>
      </c>
      <c r="F793" s="0" t="s">
        <v>69</v>
      </c>
      <c r="G793" s="58" t="str">
        <f aca="false">VLOOKUP(F793,Countries!$A$2:$B$11,2,0)</f>
        <v>Egypt</v>
      </c>
      <c r="H793" s="13" t="n">
        <v>13</v>
      </c>
      <c r="I793" s="13" t="n">
        <v>101400</v>
      </c>
      <c r="J793" s="0" t="s">
        <v>14</v>
      </c>
      <c r="K793" s="0" t="s">
        <v>863</v>
      </c>
    </row>
    <row r="794" customFormat="false" ht="12.8" hidden="false" customHeight="false" outlineLevel="0" collapsed="false">
      <c r="A794" s="57" t="n">
        <v>46261</v>
      </c>
      <c r="B794" s="0" t="s">
        <v>886</v>
      </c>
      <c r="C794" s="0" t="s">
        <v>17</v>
      </c>
      <c r="D794" s="0" t="s">
        <v>68</v>
      </c>
      <c r="E794" s="58" t="str">
        <f aca="false">VLOOKUP(D794,Models!$A$2:$B$13,2,0)</f>
        <v>50-inch 4K TV</v>
      </c>
      <c r="F794" s="0" t="s">
        <v>69</v>
      </c>
      <c r="G794" s="58" t="str">
        <f aca="false">VLOOKUP(F794,Countries!$A$2:$B$11,2,0)</f>
        <v>Egypt</v>
      </c>
      <c r="H794" s="13" t="n">
        <v>9</v>
      </c>
      <c r="I794" s="13" t="n">
        <v>93600</v>
      </c>
      <c r="J794" s="0" t="s">
        <v>14</v>
      </c>
      <c r="K794" s="0" t="s">
        <v>863</v>
      </c>
    </row>
    <row r="795" customFormat="false" ht="12.8" hidden="false" customHeight="false" outlineLevel="0" collapsed="false">
      <c r="A795" s="57" t="n">
        <v>46261</v>
      </c>
      <c r="B795" s="0" t="s">
        <v>887</v>
      </c>
      <c r="C795" s="0" t="s">
        <v>19</v>
      </c>
      <c r="D795" s="0" t="s">
        <v>77</v>
      </c>
      <c r="E795" s="58" t="str">
        <f aca="false">VLOOKUP(D795,Models!$A$2:$B$13,2,0)</f>
        <v>65-inch QLED TV</v>
      </c>
      <c r="F795" s="0" t="s">
        <v>72</v>
      </c>
      <c r="G795" s="58" t="str">
        <f aca="false">VLOOKUP(F795,Countries!$A$2:$B$11,2,0)</f>
        <v>Kenya</v>
      </c>
      <c r="H795" s="13" t="n">
        <v>18</v>
      </c>
      <c r="I795" s="13" t="n">
        <v>441000</v>
      </c>
      <c r="J795" s="0" t="s">
        <v>14</v>
      </c>
      <c r="K795" s="0" t="s">
        <v>863</v>
      </c>
    </row>
    <row r="796" customFormat="false" ht="12.8" hidden="false" customHeight="false" outlineLevel="0" collapsed="false">
      <c r="A796" s="57" t="n">
        <v>46261</v>
      </c>
      <c r="B796" s="0" t="s">
        <v>888</v>
      </c>
      <c r="C796" s="0" t="s">
        <v>19</v>
      </c>
      <c r="D796" s="0" t="s">
        <v>95</v>
      </c>
      <c r="E796" s="58" t="str">
        <f aca="false">VLOOKUP(D796,Models!$A$2:$B$13,2,0)</f>
        <v>32-inch HD TV</v>
      </c>
      <c r="F796" s="0" t="s">
        <v>79</v>
      </c>
      <c r="G796" s="58" t="str">
        <f aca="false">VLOOKUP(F796,Countries!$A$2:$B$11,2,0)</f>
        <v>Iraq</v>
      </c>
      <c r="H796" s="13" t="n">
        <v>10</v>
      </c>
      <c r="I796" s="13" t="n">
        <v>39000</v>
      </c>
      <c r="J796" s="0" t="s">
        <v>14</v>
      </c>
      <c r="K796" s="0" t="s">
        <v>863</v>
      </c>
    </row>
    <row r="797" customFormat="false" ht="12.8" hidden="false" customHeight="false" outlineLevel="0" collapsed="false">
      <c r="A797" s="57" t="n">
        <v>46261</v>
      </c>
      <c r="B797" s="0" t="s">
        <v>889</v>
      </c>
      <c r="C797" s="0" t="s">
        <v>19</v>
      </c>
      <c r="D797" s="0" t="s">
        <v>109</v>
      </c>
      <c r="E797" s="58" t="str">
        <f aca="false">VLOOKUP(D797,Models!$A$2:$B$13,2,0)</f>
        <v>55-inch QLED TV</v>
      </c>
      <c r="F797" s="0" t="s">
        <v>83</v>
      </c>
      <c r="G797" s="58" t="str">
        <f aca="false">VLOOKUP(F797,Countries!$A$2:$B$11,2,0)</f>
        <v>United Arab Emirates</v>
      </c>
      <c r="H797" s="13" t="n">
        <v>7</v>
      </c>
      <c r="I797" s="13" t="n">
        <v>109200</v>
      </c>
      <c r="J797" s="0" t="s">
        <v>14</v>
      </c>
      <c r="K797" s="0" t="s">
        <v>863</v>
      </c>
    </row>
    <row r="798" customFormat="false" ht="12.8" hidden="false" customHeight="false" outlineLevel="0" collapsed="false">
      <c r="A798" s="57" t="n">
        <v>46261</v>
      </c>
      <c r="B798" s="0" t="s">
        <v>890</v>
      </c>
      <c r="C798" s="0" t="s">
        <v>20</v>
      </c>
      <c r="D798" s="0" t="s">
        <v>81</v>
      </c>
      <c r="E798" s="58" t="str">
        <f aca="false">VLOOKUP(D798,Models!$A$2:$B$13,2,0)</f>
        <v>43-inch Smart TV</v>
      </c>
      <c r="F798" s="0" t="s">
        <v>103</v>
      </c>
      <c r="G798" s="58" t="str">
        <f aca="false">VLOOKUP(F798,Countries!$A$2:$B$11,2,0)</f>
        <v>Morocco</v>
      </c>
      <c r="H798" s="13" t="n">
        <v>16</v>
      </c>
      <c r="I798" s="13" t="n">
        <v>124800</v>
      </c>
      <c r="J798" s="0" t="s">
        <v>14</v>
      </c>
      <c r="K798" s="0" t="s">
        <v>863</v>
      </c>
    </row>
    <row r="799" customFormat="false" ht="12.8" hidden="false" customHeight="false" outlineLevel="0" collapsed="false">
      <c r="A799" s="57" t="n">
        <v>46261</v>
      </c>
      <c r="B799" s="0" t="s">
        <v>891</v>
      </c>
      <c r="C799" s="0" t="s">
        <v>20</v>
      </c>
      <c r="D799" s="0" t="s">
        <v>68</v>
      </c>
      <c r="E799" s="58" t="str">
        <f aca="false">VLOOKUP(D799,Models!$A$2:$B$13,2,0)</f>
        <v>50-inch 4K TV</v>
      </c>
      <c r="F799" s="0" t="s">
        <v>75</v>
      </c>
      <c r="G799" s="58" t="str">
        <f aca="false">VLOOKUP(F799,Countries!$A$2:$B$11,2,0)</f>
        <v>Nigeria</v>
      </c>
      <c r="H799" s="13" t="n">
        <v>23</v>
      </c>
      <c r="I799" s="13" t="n">
        <v>239200</v>
      </c>
      <c r="J799" s="0" t="s">
        <v>14</v>
      </c>
      <c r="K799" s="0" t="s">
        <v>863</v>
      </c>
    </row>
    <row r="800" customFormat="false" ht="12.8" hidden="false" customHeight="false" outlineLevel="0" collapsed="false">
      <c r="A800" s="57" t="n">
        <v>46261</v>
      </c>
      <c r="B800" s="0" t="s">
        <v>892</v>
      </c>
      <c r="C800" s="0" t="s">
        <v>21</v>
      </c>
      <c r="D800" s="0" t="s">
        <v>64</v>
      </c>
      <c r="E800" s="58" t="str">
        <f aca="false">VLOOKUP(D800,Models!$A$2:$B$13,2,0)</f>
        <v>32-inch Smart TV</v>
      </c>
      <c r="F800" s="0" t="s">
        <v>69</v>
      </c>
      <c r="G800" s="58" t="str">
        <f aca="false">VLOOKUP(F800,Countries!$A$2:$B$11,2,0)</f>
        <v>Egypt</v>
      </c>
      <c r="H800" s="13" t="n">
        <v>42</v>
      </c>
      <c r="I800" s="13" t="n">
        <v>193200</v>
      </c>
      <c r="J800" s="0" t="s">
        <v>14</v>
      </c>
      <c r="K800" s="0" t="s">
        <v>863</v>
      </c>
    </row>
    <row r="801" customFormat="false" ht="12.8" hidden="false" customHeight="false" outlineLevel="0" collapsed="false">
      <c r="A801" s="57" t="n">
        <v>46263</v>
      </c>
      <c r="B801" s="0" t="s">
        <v>893</v>
      </c>
      <c r="C801" s="0" t="s">
        <v>13</v>
      </c>
      <c r="D801" s="0" t="s">
        <v>74</v>
      </c>
      <c r="E801" s="58" t="str">
        <f aca="false">VLOOKUP(D801,Models!$A$2:$B$13,2,0)</f>
        <v>40-inch Full HD TV</v>
      </c>
      <c r="F801" s="0" t="s">
        <v>69</v>
      </c>
      <c r="G801" s="58" t="str">
        <f aca="false">VLOOKUP(F801,Countries!$A$2:$B$11,2,0)</f>
        <v>Egypt</v>
      </c>
      <c r="H801" s="13" t="n">
        <v>25</v>
      </c>
      <c r="I801" s="13" t="n">
        <v>155000</v>
      </c>
      <c r="J801" s="0" t="s">
        <v>14</v>
      </c>
      <c r="K801" s="0" t="s">
        <v>863</v>
      </c>
    </row>
    <row r="802" customFormat="false" ht="12.8" hidden="false" customHeight="false" outlineLevel="0" collapsed="false">
      <c r="A802" s="57" t="n">
        <v>46263</v>
      </c>
      <c r="B802" s="0" t="s">
        <v>894</v>
      </c>
      <c r="C802" s="0" t="s">
        <v>13</v>
      </c>
      <c r="D802" s="0" t="s">
        <v>92</v>
      </c>
      <c r="E802" s="58" t="str">
        <f aca="false">VLOOKUP(D802,Models!$A$2:$B$13,2,0)</f>
        <v>65-inch 4K TV</v>
      </c>
      <c r="F802" s="0" t="s">
        <v>103</v>
      </c>
      <c r="G802" s="58" t="str">
        <f aca="false">VLOOKUP(F802,Countries!$A$2:$B$11,2,0)</f>
        <v>Morocco</v>
      </c>
      <c r="H802" s="13" t="n">
        <v>20</v>
      </c>
      <c r="I802" s="13" t="n">
        <v>396000</v>
      </c>
      <c r="J802" s="0" t="s">
        <v>14</v>
      </c>
      <c r="K802" s="0" t="s">
        <v>863</v>
      </c>
    </row>
    <row r="803" customFormat="false" ht="12.8" hidden="false" customHeight="false" outlineLevel="0" collapsed="false">
      <c r="A803" s="57" t="n">
        <v>46263</v>
      </c>
      <c r="B803" s="0" t="s">
        <v>895</v>
      </c>
      <c r="C803" s="0" t="s">
        <v>13</v>
      </c>
      <c r="D803" s="0" t="s">
        <v>81</v>
      </c>
      <c r="E803" s="58" t="str">
        <f aca="false">VLOOKUP(D803,Models!$A$2:$B$13,2,0)</f>
        <v>43-inch Smart TV</v>
      </c>
      <c r="F803" s="0" t="s">
        <v>79</v>
      </c>
      <c r="G803" s="58" t="str">
        <f aca="false">VLOOKUP(F803,Countries!$A$2:$B$11,2,0)</f>
        <v>Iraq</v>
      </c>
      <c r="H803" s="13" t="n">
        <v>46</v>
      </c>
      <c r="I803" s="13" t="n">
        <v>358800</v>
      </c>
      <c r="J803" s="0" t="s">
        <v>14</v>
      </c>
      <c r="K803" s="0" t="s">
        <v>863</v>
      </c>
    </row>
    <row r="804" customFormat="false" ht="12.8" hidden="false" customHeight="false" outlineLevel="0" collapsed="false">
      <c r="A804" s="57" t="n">
        <v>46263</v>
      </c>
      <c r="B804" s="0" t="s">
        <v>896</v>
      </c>
      <c r="C804" s="0" t="s">
        <v>13</v>
      </c>
      <c r="D804" s="0" t="s">
        <v>92</v>
      </c>
      <c r="E804" s="58" t="str">
        <f aca="false">VLOOKUP(D804,Models!$A$2:$B$13,2,0)</f>
        <v>65-inch 4K TV</v>
      </c>
      <c r="F804" s="0" t="s">
        <v>69</v>
      </c>
      <c r="G804" s="58" t="str">
        <f aca="false">VLOOKUP(F804,Countries!$A$2:$B$11,2,0)</f>
        <v>Egypt</v>
      </c>
      <c r="H804" s="13" t="n">
        <v>5</v>
      </c>
      <c r="I804" s="13" t="n">
        <v>99000</v>
      </c>
      <c r="J804" s="0" t="s">
        <v>14</v>
      </c>
      <c r="K804" s="0" t="s">
        <v>863</v>
      </c>
    </row>
    <row r="805" customFormat="false" ht="12.8" hidden="false" customHeight="false" outlineLevel="0" collapsed="false">
      <c r="A805" s="57" t="n">
        <v>46263</v>
      </c>
      <c r="B805" s="0" t="s">
        <v>897</v>
      </c>
      <c r="C805" s="0" t="s">
        <v>13</v>
      </c>
      <c r="D805" s="0" t="s">
        <v>92</v>
      </c>
      <c r="E805" s="58" t="str">
        <f aca="false">VLOOKUP(D805,Models!$A$2:$B$13,2,0)</f>
        <v>65-inch 4K TV</v>
      </c>
      <c r="F805" s="0" t="s">
        <v>75</v>
      </c>
      <c r="G805" s="58" t="str">
        <f aca="false">VLOOKUP(F805,Countries!$A$2:$B$11,2,0)</f>
        <v>Nigeria</v>
      </c>
      <c r="H805" s="13" t="n">
        <v>12</v>
      </c>
      <c r="I805" s="13" t="n">
        <v>237600</v>
      </c>
      <c r="J805" s="0" t="s">
        <v>14</v>
      </c>
      <c r="K805" s="0" t="s">
        <v>863</v>
      </c>
    </row>
    <row r="806" customFormat="false" ht="12.8" hidden="false" customHeight="false" outlineLevel="0" collapsed="false">
      <c r="A806" s="57" t="n">
        <v>46263</v>
      </c>
      <c r="B806" s="0" t="s">
        <v>898</v>
      </c>
      <c r="C806" s="0" t="s">
        <v>15</v>
      </c>
      <c r="D806" s="0" t="s">
        <v>90</v>
      </c>
      <c r="E806" s="58" t="str">
        <f aca="false">VLOOKUP(D806,Models!$A$2:$B$13,2,0)</f>
        <v>55-inch 4K TV</v>
      </c>
      <c r="F806" s="0" t="s">
        <v>69</v>
      </c>
      <c r="G806" s="58" t="str">
        <f aca="false">VLOOKUP(F806,Countries!$A$2:$B$11,2,0)</f>
        <v>Egypt</v>
      </c>
      <c r="H806" s="13" t="n">
        <v>21</v>
      </c>
      <c r="I806" s="13" t="n">
        <v>258300</v>
      </c>
      <c r="J806" s="0" t="s">
        <v>14</v>
      </c>
      <c r="K806" s="0" t="s">
        <v>863</v>
      </c>
    </row>
    <row r="807" customFormat="false" ht="12.8" hidden="false" customHeight="false" outlineLevel="0" collapsed="false">
      <c r="A807" s="57" t="n">
        <v>46263</v>
      </c>
      <c r="B807" s="0" t="s">
        <v>899</v>
      </c>
      <c r="C807" s="0" t="s">
        <v>15</v>
      </c>
      <c r="D807" s="0" t="s">
        <v>95</v>
      </c>
      <c r="E807" s="58" t="str">
        <f aca="false">VLOOKUP(D807,Models!$A$2:$B$13,2,0)</f>
        <v>32-inch HD TV</v>
      </c>
      <c r="F807" s="0" t="s">
        <v>69</v>
      </c>
      <c r="G807" s="58" t="str">
        <f aca="false">VLOOKUP(F807,Countries!$A$2:$B$11,2,0)</f>
        <v>Egypt</v>
      </c>
      <c r="H807" s="13" t="n">
        <v>32</v>
      </c>
      <c r="I807" s="13" t="n">
        <v>124800</v>
      </c>
      <c r="J807" s="0" t="s">
        <v>14</v>
      </c>
      <c r="K807" s="0" t="s">
        <v>863</v>
      </c>
    </row>
    <row r="808" customFormat="false" ht="12.8" hidden="false" customHeight="false" outlineLevel="0" collapsed="false">
      <c r="A808" s="57" t="n">
        <v>46263</v>
      </c>
      <c r="B808" s="0" t="s">
        <v>900</v>
      </c>
      <c r="C808" s="0" t="s">
        <v>15</v>
      </c>
      <c r="D808" s="0" t="s">
        <v>92</v>
      </c>
      <c r="E808" s="58" t="str">
        <f aca="false">VLOOKUP(D808,Models!$A$2:$B$13,2,0)</f>
        <v>65-inch 4K TV</v>
      </c>
      <c r="F808" s="0" t="s">
        <v>69</v>
      </c>
      <c r="G808" s="58" t="str">
        <f aca="false">VLOOKUP(F808,Countries!$A$2:$B$11,2,0)</f>
        <v>Egypt</v>
      </c>
      <c r="H808" s="13" t="n">
        <v>19</v>
      </c>
      <c r="I808" s="13" t="n">
        <v>376200</v>
      </c>
      <c r="J808" s="0" t="s">
        <v>14</v>
      </c>
      <c r="K808" s="0" t="s">
        <v>863</v>
      </c>
    </row>
    <row r="809" customFormat="false" ht="12.8" hidden="false" customHeight="false" outlineLevel="0" collapsed="false">
      <c r="A809" s="57" t="n">
        <v>46263</v>
      </c>
      <c r="B809" s="0" t="s">
        <v>901</v>
      </c>
      <c r="C809" s="0" t="s">
        <v>17</v>
      </c>
      <c r="D809" s="0" t="s">
        <v>68</v>
      </c>
      <c r="E809" s="58" t="str">
        <f aca="false">VLOOKUP(D809,Models!$A$2:$B$13,2,0)</f>
        <v>50-inch 4K TV</v>
      </c>
      <c r="F809" s="0" t="s">
        <v>101</v>
      </c>
      <c r="G809" s="58" t="str">
        <f aca="false">VLOOKUP(F809,Countries!$A$2:$B$11,2,0)</f>
        <v>Kuwait</v>
      </c>
      <c r="H809" s="13" t="n">
        <v>20</v>
      </c>
      <c r="I809" s="13" t="n">
        <v>208000</v>
      </c>
      <c r="J809" s="0" t="s">
        <v>14</v>
      </c>
      <c r="K809" s="0" t="s">
        <v>863</v>
      </c>
    </row>
    <row r="810" customFormat="false" ht="12.8" hidden="false" customHeight="false" outlineLevel="0" collapsed="false">
      <c r="A810" s="57" t="n">
        <v>46263</v>
      </c>
      <c r="B810" s="0" t="s">
        <v>902</v>
      </c>
      <c r="C810" s="0" t="s">
        <v>17</v>
      </c>
      <c r="D810" s="0" t="s">
        <v>109</v>
      </c>
      <c r="E810" s="58" t="str">
        <f aca="false">VLOOKUP(D810,Models!$A$2:$B$13,2,0)</f>
        <v>55-inch QLED TV</v>
      </c>
      <c r="F810" s="0" t="s">
        <v>69</v>
      </c>
      <c r="G810" s="58" t="str">
        <f aca="false">VLOOKUP(F810,Countries!$A$2:$B$11,2,0)</f>
        <v>Egypt</v>
      </c>
      <c r="H810" s="13" t="n">
        <v>12</v>
      </c>
      <c r="I810" s="13" t="n">
        <v>187200</v>
      </c>
      <c r="J810" s="0" t="s">
        <v>14</v>
      </c>
      <c r="K810" s="0" t="s">
        <v>863</v>
      </c>
    </row>
    <row r="811" customFormat="false" ht="12.8" hidden="false" customHeight="false" outlineLevel="0" collapsed="false">
      <c r="A811" s="57" t="n">
        <v>46263</v>
      </c>
      <c r="B811" s="0" t="s">
        <v>903</v>
      </c>
      <c r="C811" s="0" t="s">
        <v>17</v>
      </c>
      <c r="D811" s="0" t="s">
        <v>64</v>
      </c>
      <c r="E811" s="58" t="str">
        <f aca="false">VLOOKUP(D811,Models!$A$2:$B$13,2,0)</f>
        <v>32-inch Smart TV</v>
      </c>
      <c r="F811" s="0" t="s">
        <v>65</v>
      </c>
      <c r="G811" s="58" t="str">
        <f aca="false">VLOOKUP(F811,Countries!$A$2:$B$11,2,0)</f>
        <v>Jordan</v>
      </c>
      <c r="H811" s="13" t="n">
        <v>16</v>
      </c>
      <c r="I811" s="13" t="n">
        <v>73600</v>
      </c>
      <c r="J811" s="0" t="s">
        <v>14</v>
      </c>
      <c r="K811" s="0" t="s">
        <v>863</v>
      </c>
    </row>
    <row r="812" customFormat="false" ht="12.8" hidden="false" customHeight="false" outlineLevel="0" collapsed="false">
      <c r="A812" s="57" t="n">
        <v>46263</v>
      </c>
      <c r="B812" s="0" t="s">
        <v>904</v>
      </c>
      <c r="C812" s="0" t="s">
        <v>19</v>
      </c>
      <c r="D812" s="0" t="s">
        <v>92</v>
      </c>
      <c r="E812" s="58" t="str">
        <f aca="false">VLOOKUP(D812,Models!$A$2:$B$13,2,0)</f>
        <v>65-inch 4K TV</v>
      </c>
      <c r="F812" s="0" t="s">
        <v>83</v>
      </c>
      <c r="G812" s="58" t="str">
        <f aca="false">VLOOKUP(F812,Countries!$A$2:$B$11,2,0)</f>
        <v>United Arab Emirates</v>
      </c>
      <c r="H812" s="13" t="n">
        <v>16</v>
      </c>
      <c r="I812" s="13" t="n">
        <v>316800</v>
      </c>
      <c r="J812" s="0" t="s">
        <v>14</v>
      </c>
      <c r="K812" s="0" t="s">
        <v>863</v>
      </c>
    </row>
    <row r="813" customFormat="false" ht="12.8" hidden="false" customHeight="false" outlineLevel="0" collapsed="false">
      <c r="A813" s="57" t="n">
        <v>46263</v>
      </c>
      <c r="B813" s="0" t="s">
        <v>905</v>
      </c>
      <c r="C813" s="0" t="s">
        <v>19</v>
      </c>
      <c r="D813" s="0" t="s">
        <v>74</v>
      </c>
      <c r="E813" s="58" t="str">
        <f aca="false">VLOOKUP(D813,Models!$A$2:$B$13,2,0)</f>
        <v>40-inch Full HD TV</v>
      </c>
      <c r="F813" s="0" t="s">
        <v>101</v>
      </c>
      <c r="G813" s="58" t="str">
        <f aca="false">VLOOKUP(F813,Countries!$A$2:$B$11,2,0)</f>
        <v>Kuwait</v>
      </c>
      <c r="H813" s="13" t="n">
        <v>37</v>
      </c>
      <c r="I813" s="13" t="n">
        <v>229400</v>
      </c>
      <c r="J813" s="0" t="s">
        <v>14</v>
      </c>
      <c r="K813" s="0" t="s">
        <v>863</v>
      </c>
    </row>
    <row r="814" customFormat="false" ht="12.8" hidden="false" customHeight="false" outlineLevel="0" collapsed="false">
      <c r="A814" s="57" t="n">
        <v>46263</v>
      </c>
      <c r="B814" s="0" t="s">
        <v>906</v>
      </c>
      <c r="C814" s="0" t="s">
        <v>19</v>
      </c>
      <c r="D814" s="0" t="s">
        <v>92</v>
      </c>
      <c r="E814" s="58" t="str">
        <f aca="false">VLOOKUP(D814,Models!$A$2:$B$13,2,0)</f>
        <v>65-inch 4K TV</v>
      </c>
      <c r="F814" s="0" t="s">
        <v>69</v>
      </c>
      <c r="G814" s="58" t="str">
        <f aca="false">VLOOKUP(F814,Countries!$A$2:$B$11,2,0)</f>
        <v>Egypt</v>
      </c>
      <c r="H814" s="13" t="n">
        <v>7</v>
      </c>
      <c r="I814" s="13" t="n">
        <v>138600</v>
      </c>
      <c r="J814" s="0" t="s">
        <v>14</v>
      </c>
      <c r="K814" s="0" t="s">
        <v>863</v>
      </c>
    </row>
    <row r="815" customFormat="false" ht="12.8" hidden="false" customHeight="false" outlineLevel="0" collapsed="false">
      <c r="A815" s="57" t="n">
        <v>46263</v>
      </c>
      <c r="B815" s="0" t="s">
        <v>907</v>
      </c>
      <c r="C815" s="0" t="s">
        <v>20</v>
      </c>
      <c r="D815" s="0" t="s">
        <v>90</v>
      </c>
      <c r="E815" s="58" t="str">
        <f aca="false">VLOOKUP(D815,Models!$A$2:$B$13,2,0)</f>
        <v>55-inch 4K TV</v>
      </c>
      <c r="F815" s="0" t="s">
        <v>98</v>
      </c>
      <c r="G815" s="58" t="str">
        <f aca="false">VLOOKUP(F815,Countries!$A$2:$B$11,2,0)</f>
        <v>Libya</v>
      </c>
      <c r="H815" s="13" t="n">
        <v>7</v>
      </c>
      <c r="I815" s="13" t="n">
        <v>86100</v>
      </c>
      <c r="J815" s="0" t="s">
        <v>14</v>
      </c>
      <c r="K815" s="0" t="s">
        <v>863</v>
      </c>
    </row>
    <row r="816" customFormat="false" ht="12.8" hidden="false" customHeight="false" outlineLevel="0" collapsed="false">
      <c r="A816" s="57" t="n">
        <v>46263</v>
      </c>
      <c r="B816" s="0" t="s">
        <v>908</v>
      </c>
      <c r="C816" s="0" t="s">
        <v>21</v>
      </c>
      <c r="D816" s="0" t="s">
        <v>81</v>
      </c>
      <c r="E816" s="58" t="str">
        <f aca="false">VLOOKUP(D816,Models!$A$2:$B$13,2,0)</f>
        <v>43-inch Smart TV</v>
      </c>
      <c r="F816" s="0" t="s">
        <v>101</v>
      </c>
      <c r="G816" s="58" t="str">
        <f aca="false">VLOOKUP(F816,Countries!$A$2:$B$11,2,0)</f>
        <v>Kuwait</v>
      </c>
      <c r="H816" s="13" t="n">
        <v>48</v>
      </c>
      <c r="I816" s="13" t="n">
        <v>374400</v>
      </c>
      <c r="J816" s="0" t="s">
        <v>14</v>
      </c>
      <c r="K816" s="0" t="s">
        <v>863</v>
      </c>
    </row>
    <row r="817" customFormat="false" ht="12.8" hidden="false" customHeight="false" outlineLevel="0" collapsed="false">
      <c r="A817" s="57" t="n">
        <v>46263</v>
      </c>
      <c r="B817" s="0" t="s">
        <v>909</v>
      </c>
      <c r="C817" s="0" t="s">
        <v>21</v>
      </c>
      <c r="D817" s="0" t="s">
        <v>95</v>
      </c>
      <c r="E817" s="58" t="str">
        <f aca="false">VLOOKUP(D817,Models!$A$2:$B$13,2,0)</f>
        <v>32-inch HD TV</v>
      </c>
      <c r="F817" s="0" t="s">
        <v>69</v>
      </c>
      <c r="G817" s="58" t="str">
        <f aca="false">VLOOKUP(F817,Countries!$A$2:$B$11,2,0)</f>
        <v>Egypt</v>
      </c>
      <c r="H817" s="13" t="n">
        <v>33</v>
      </c>
      <c r="I817" s="13" t="n">
        <v>128700</v>
      </c>
      <c r="J817" s="0" t="s">
        <v>14</v>
      </c>
      <c r="K817" s="0" t="s">
        <v>863</v>
      </c>
    </row>
    <row r="818" customFormat="false" ht="12.8" hidden="false" customHeight="false" outlineLevel="0" collapsed="false">
      <c r="A818" s="57" t="n">
        <v>46263</v>
      </c>
      <c r="B818" s="0" t="s">
        <v>910</v>
      </c>
      <c r="C818" s="0" t="s">
        <v>21</v>
      </c>
      <c r="D818" s="0" t="s">
        <v>90</v>
      </c>
      <c r="E818" s="58" t="str">
        <f aca="false">VLOOKUP(D818,Models!$A$2:$B$13,2,0)</f>
        <v>55-inch 4K TV</v>
      </c>
      <c r="F818" s="0" t="s">
        <v>69</v>
      </c>
      <c r="G818" s="58" t="str">
        <f aca="false">VLOOKUP(F818,Countries!$A$2:$B$11,2,0)</f>
        <v>Egypt</v>
      </c>
      <c r="H818" s="13" t="n">
        <v>8</v>
      </c>
      <c r="I818" s="13" t="n">
        <v>98400</v>
      </c>
      <c r="J818" s="0" t="s">
        <v>14</v>
      </c>
      <c r="K818" s="0" t="s">
        <v>863</v>
      </c>
    </row>
    <row r="819" customFormat="false" ht="12.8" hidden="false" customHeight="false" outlineLevel="0" collapsed="false">
      <c r="A819" s="57" t="n">
        <v>46264</v>
      </c>
      <c r="B819" s="0" t="s">
        <v>911</v>
      </c>
      <c r="C819" s="0" t="s">
        <v>13</v>
      </c>
      <c r="D819" s="0" t="s">
        <v>81</v>
      </c>
      <c r="E819" s="58" t="str">
        <f aca="false">VLOOKUP(D819,Models!$A$2:$B$13,2,0)</f>
        <v>43-inch Smart TV</v>
      </c>
      <c r="F819" s="0" t="s">
        <v>83</v>
      </c>
      <c r="G819" s="58" t="str">
        <f aca="false">VLOOKUP(F819,Countries!$A$2:$B$11,2,0)</f>
        <v>United Arab Emirates</v>
      </c>
      <c r="H819" s="13" t="n">
        <v>24</v>
      </c>
      <c r="I819" s="13" t="n">
        <v>187200</v>
      </c>
      <c r="J819" s="0" t="s">
        <v>14</v>
      </c>
      <c r="K819" s="0" t="s">
        <v>863</v>
      </c>
    </row>
    <row r="820" customFormat="false" ht="12.8" hidden="false" customHeight="false" outlineLevel="0" collapsed="false">
      <c r="A820" s="57" t="n">
        <v>46264</v>
      </c>
      <c r="B820" s="0" t="s">
        <v>912</v>
      </c>
      <c r="C820" s="0" t="s">
        <v>13</v>
      </c>
      <c r="D820" s="0" t="s">
        <v>77</v>
      </c>
      <c r="E820" s="58" t="str">
        <f aca="false">VLOOKUP(D820,Models!$A$2:$B$13,2,0)</f>
        <v>65-inch QLED TV</v>
      </c>
      <c r="F820" s="0" t="s">
        <v>69</v>
      </c>
      <c r="G820" s="58" t="str">
        <f aca="false">VLOOKUP(F820,Countries!$A$2:$B$11,2,0)</f>
        <v>Egypt</v>
      </c>
      <c r="H820" s="13" t="n">
        <v>14</v>
      </c>
      <c r="I820" s="13" t="n">
        <v>343000</v>
      </c>
      <c r="J820" s="0" t="s">
        <v>14</v>
      </c>
      <c r="K820" s="0" t="s">
        <v>863</v>
      </c>
    </row>
    <row r="821" customFormat="false" ht="12.8" hidden="false" customHeight="false" outlineLevel="0" collapsed="false">
      <c r="A821" s="57" t="n">
        <v>46264</v>
      </c>
      <c r="B821" s="0" t="s">
        <v>913</v>
      </c>
      <c r="C821" s="0" t="s">
        <v>13</v>
      </c>
      <c r="D821" s="0" t="s">
        <v>109</v>
      </c>
      <c r="E821" s="58" t="str">
        <f aca="false">VLOOKUP(D821,Models!$A$2:$B$13,2,0)</f>
        <v>55-inch QLED TV</v>
      </c>
      <c r="F821" s="0" t="s">
        <v>98</v>
      </c>
      <c r="G821" s="58" t="str">
        <f aca="false">VLOOKUP(F821,Countries!$A$2:$B$11,2,0)</f>
        <v>Libya</v>
      </c>
      <c r="H821" s="13" t="n">
        <v>28</v>
      </c>
      <c r="I821" s="13" t="n">
        <v>436800</v>
      </c>
      <c r="J821" s="0" t="s">
        <v>14</v>
      </c>
      <c r="K821" s="0" t="s">
        <v>863</v>
      </c>
    </row>
    <row r="822" customFormat="false" ht="12.8" hidden="false" customHeight="false" outlineLevel="0" collapsed="false">
      <c r="A822" s="57" t="n">
        <v>46264</v>
      </c>
      <c r="B822" s="0" t="s">
        <v>914</v>
      </c>
      <c r="C822" s="0" t="s">
        <v>13</v>
      </c>
      <c r="D822" s="0" t="s">
        <v>109</v>
      </c>
      <c r="E822" s="58" t="str">
        <f aca="false">VLOOKUP(D822,Models!$A$2:$B$13,2,0)</f>
        <v>55-inch QLED TV</v>
      </c>
      <c r="F822" s="0" t="s">
        <v>79</v>
      </c>
      <c r="G822" s="58" t="str">
        <f aca="false">VLOOKUP(F822,Countries!$A$2:$B$11,2,0)</f>
        <v>Iraq</v>
      </c>
      <c r="H822" s="13" t="n">
        <v>32</v>
      </c>
      <c r="I822" s="13" t="n">
        <v>499200</v>
      </c>
      <c r="J822" s="0" t="s">
        <v>14</v>
      </c>
      <c r="K822" s="0" t="s">
        <v>863</v>
      </c>
    </row>
    <row r="823" customFormat="false" ht="12.8" hidden="false" customHeight="false" outlineLevel="0" collapsed="false">
      <c r="A823" s="57" t="n">
        <v>46264</v>
      </c>
      <c r="B823" s="0" t="s">
        <v>915</v>
      </c>
      <c r="C823" s="0" t="s">
        <v>15</v>
      </c>
      <c r="D823" s="0" t="s">
        <v>81</v>
      </c>
      <c r="E823" s="58" t="str">
        <f aca="false">VLOOKUP(D823,Models!$A$2:$B$13,2,0)</f>
        <v>43-inch Smart TV</v>
      </c>
      <c r="F823" s="0" t="s">
        <v>75</v>
      </c>
      <c r="G823" s="58" t="str">
        <f aca="false">VLOOKUP(F823,Countries!$A$2:$B$11,2,0)</f>
        <v>Nigeria</v>
      </c>
      <c r="H823" s="13" t="n">
        <v>49</v>
      </c>
      <c r="I823" s="13" t="n">
        <v>382200</v>
      </c>
      <c r="J823" s="0" t="s">
        <v>14</v>
      </c>
      <c r="K823" s="0" t="s">
        <v>863</v>
      </c>
    </row>
    <row r="824" customFormat="false" ht="12.8" hidden="false" customHeight="false" outlineLevel="0" collapsed="false">
      <c r="A824" s="57" t="n">
        <v>46264</v>
      </c>
      <c r="B824" s="0" t="s">
        <v>916</v>
      </c>
      <c r="C824" s="0" t="s">
        <v>15</v>
      </c>
      <c r="D824" s="0" t="s">
        <v>64</v>
      </c>
      <c r="E824" s="58" t="str">
        <f aca="false">VLOOKUP(D824,Models!$A$2:$B$13,2,0)</f>
        <v>32-inch Smart TV</v>
      </c>
      <c r="F824" s="0" t="s">
        <v>65</v>
      </c>
      <c r="G824" s="58" t="str">
        <f aca="false">VLOOKUP(F824,Countries!$A$2:$B$11,2,0)</f>
        <v>Jordan</v>
      </c>
      <c r="H824" s="13" t="n">
        <v>40</v>
      </c>
      <c r="I824" s="13" t="n">
        <v>184000</v>
      </c>
      <c r="J824" s="0" t="s">
        <v>14</v>
      </c>
      <c r="K824" s="0" t="s">
        <v>863</v>
      </c>
    </row>
    <row r="825" customFormat="false" ht="12.8" hidden="false" customHeight="false" outlineLevel="0" collapsed="false">
      <c r="A825" s="57" t="n">
        <v>46264</v>
      </c>
      <c r="B825" s="0" t="s">
        <v>917</v>
      </c>
      <c r="C825" s="0" t="s">
        <v>15</v>
      </c>
      <c r="D825" s="0" t="s">
        <v>95</v>
      </c>
      <c r="E825" s="58" t="str">
        <f aca="false">VLOOKUP(D825,Models!$A$2:$B$13,2,0)</f>
        <v>32-inch HD TV</v>
      </c>
      <c r="F825" s="0" t="s">
        <v>69</v>
      </c>
      <c r="G825" s="58" t="str">
        <f aca="false">VLOOKUP(F825,Countries!$A$2:$B$11,2,0)</f>
        <v>Egypt</v>
      </c>
      <c r="H825" s="13" t="n">
        <v>7</v>
      </c>
      <c r="I825" s="13" t="n">
        <v>27300</v>
      </c>
      <c r="J825" s="0" t="s">
        <v>14</v>
      </c>
      <c r="K825" s="0" t="s">
        <v>863</v>
      </c>
    </row>
    <row r="826" customFormat="false" ht="12.8" hidden="false" customHeight="false" outlineLevel="0" collapsed="false">
      <c r="A826" s="57" t="n">
        <v>46264</v>
      </c>
      <c r="B826" s="0" t="s">
        <v>918</v>
      </c>
      <c r="C826" s="0" t="s">
        <v>17</v>
      </c>
      <c r="D826" s="0" t="s">
        <v>74</v>
      </c>
      <c r="E826" s="58" t="str">
        <f aca="false">VLOOKUP(D826,Models!$A$2:$B$13,2,0)</f>
        <v>40-inch Full HD TV</v>
      </c>
      <c r="F826" s="0" t="s">
        <v>79</v>
      </c>
      <c r="G826" s="58" t="str">
        <f aca="false">VLOOKUP(F826,Countries!$A$2:$B$11,2,0)</f>
        <v>Iraq</v>
      </c>
      <c r="H826" s="13" t="n">
        <v>48</v>
      </c>
      <c r="I826" s="13" t="n">
        <v>297600</v>
      </c>
      <c r="J826" s="0" t="s">
        <v>14</v>
      </c>
      <c r="K826" s="0" t="s">
        <v>863</v>
      </c>
    </row>
    <row r="827" customFormat="false" ht="12.8" hidden="false" customHeight="false" outlineLevel="0" collapsed="false">
      <c r="A827" s="57" t="n">
        <v>46264</v>
      </c>
      <c r="B827" s="0" t="s">
        <v>919</v>
      </c>
      <c r="C827" s="0" t="s">
        <v>17</v>
      </c>
      <c r="D827" s="0" t="s">
        <v>95</v>
      </c>
      <c r="E827" s="58" t="str">
        <f aca="false">VLOOKUP(D827,Models!$A$2:$B$13,2,0)</f>
        <v>32-inch HD TV</v>
      </c>
      <c r="F827" s="0" t="s">
        <v>69</v>
      </c>
      <c r="G827" s="58" t="str">
        <f aca="false">VLOOKUP(F827,Countries!$A$2:$B$11,2,0)</f>
        <v>Egypt</v>
      </c>
      <c r="H827" s="13" t="n">
        <v>30</v>
      </c>
      <c r="I827" s="13" t="n">
        <v>117000</v>
      </c>
      <c r="J827" s="0" t="s">
        <v>14</v>
      </c>
      <c r="K827" s="0" t="s">
        <v>863</v>
      </c>
    </row>
    <row r="828" customFormat="false" ht="12.8" hidden="false" customHeight="false" outlineLevel="0" collapsed="false">
      <c r="A828" s="57" t="n">
        <v>46264</v>
      </c>
      <c r="B828" s="0" t="s">
        <v>920</v>
      </c>
      <c r="C828" s="0" t="s">
        <v>17</v>
      </c>
      <c r="D828" s="0" t="s">
        <v>109</v>
      </c>
      <c r="E828" s="58" t="str">
        <f aca="false">VLOOKUP(D828,Models!$A$2:$B$13,2,0)</f>
        <v>55-inch QLED TV</v>
      </c>
      <c r="F828" s="0" t="s">
        <v>103</v>
      </c>
      <c r="G828" s="58" t="str">
        <f aca="false">VLOOKUP(F828,Countries!$A$2:$B$11,2,0)</f>
        <v>Morocco</v>
      </c>
      <c r="H828" s="13" t="n">
        <v>6</v>
      </c>
      <c r="I828" s="13" t="n">
        <v>93600</v>
      </c>
      <c r="J828" s="0" t="s">
        <v>14</v>
      </c>
      <c r="K828" s="0" t="s">
        <v>863</v>
      </c>
    </row>
    <row r="829" customFormat="false" ht="12.8" hidden="false" customHeight="false" outlineLevel="0" collapsed="false">
      <c r="A829" s="57" t="n">
        <v>46264</v>
      </c>
      <c r="B829" s="0" t="s">
        <v>921</v>
      </c>
      <c r="C829" s="0" t="s">
        <v>17</v>
      </c>
      <c r="D829" s="0" t="s">
        <v>109</v>
      </c>
      <c r="E829" s="58" t="str">
        <f aca="false">VLOOKUP(D829,Models!$A$2:$B$13,2,0)</f>
        <v>55-inch QLED TV</v>
      </c>
      <c r="F829" s="0" t="s">
        <v>69</v>
      </c>
      <c r="G829" s="58" t="str">
        <f aca="false">VLOOKUP(F829,Countries!$A$2:$B$11,2,0)</f>
        <v>Egypt</v>
      </c>
      <c r="H829" s="13" t="n">
        <v>15</v>
      </c>
      <c r="I829" s="13" t="n">
        <v>234000</v>
      </c>
      <c r="J829" s="0" t="s">
        <v>14</v>
      </c>
      <c r="K829" s="0" t="s">
        <v>863</v>
      </c>
    </row>
    <row r="830" customFormat="false" ht="12.8" hidden="false" customHeight="false" outlineLevel="0" collapsed="false">
      <c r="A830" s="57" t="n">
        <v>46264</v>
      </c>
      <c r="B830" s="0" t="s">
        <v>922</v>
      </c>
      <c r="C830" s="0" t="s">
        <v>19</v>
      </c>
      <c r="D830" s="0" t="s">
        <v>64</v>
      </c>
      <c r="E830" s="58" t="str">
        <f aca="false">VLOOKUP(D830,Models!$A$2:$B$13,2,0)</f>
        <v>32-inch Smart TV</v>
      </c>
      <c r="F830" s="0" t="s">
        <v>65</v>
      </c>
      <c r="G830" s="58" t="str">
        <f aca="false">VLOOKUP(F830,Countries!$A$2:$B$11,2,0)</f>
        <v>Jordan</v>
      </c>
      <c r="H830" s="13" t="n">
        <v>59</v>
      </c>
      <c r="I830" s="13" t="n">
        <v>271400</v>
      </c>
      <c r="J830" s="0" t="s">
        <v>14</v>
      </c>
      <c r="K830" s="0" t="s">
        <v>863</v>
      </c>
    </row>
    <row r="831" customFormat="false" ht="12.8" hidden="false" customHeight="false" outlineLevel="0" collapsed="false">
      <c r="A831" s="57" t="n">
        <v>46264</v>
      </c>
      <c r="B831" s="0" t="s">
        <v>923</v>
      </c>
      <c r="C831" s="0" t="s">
        <v>19</v>
      </c>
      <c r="D831" s="0" t="s">
        <v>81</v>
      </c>
      <c r="E831" s="58" t="str">
        <f aca="false">VLOOKUP(D831,Models!$A$2:$B$13,2,0)</f>
        <v>43-inch Smart TV</v>
      </c>
      <c r="F831" s="0" t="s">
        <v>69</v>
      </c>
      <c r="G831" s="58" t="str">
        <f aca="false">VLOOKUP(F831,Countries!$A$2:$B$11,2,0)</f>
        <v>Egypt</v>
      </c>
      <c r="H831" s="13" t="n">
        <v>19</v>
      </c>
      <c r="I831" s="13" t="n">
        <v>148200</v>
      </c>
      <c r="J831" s="0" t="s">
        <v>14</v>
      </c>
      <c r="K831" s="0" t="s">
        <v>863</v>
      </c>
    </row>
    <row r="832" customFormat="false" ht="12.8" hidden="false" customHeight="false" outlineLevel="0" collapsed="false">
      <c r="A832" s="57" t="n">
        <v>46264</v>
      </c>
      <c r="B832" s="0" t="s">
        <v>924</v>
      </c>
      <c r="C832" s="0" t="s">
        <v>20</v>
      </c>
      <c r="D832" s="0" t="s">
        <v>68</v>
      </c>
      <c r="E832" s="58" t="str">
        <f aca="false">VLOOKUP(D832,Models!$A$2:$B$13,2,0)</f>
        <v>50-inch 4K TV</v>
      </c>
      <c r="F832" s="0" t="s">
        <v>79</v>
      </c>
      <c r="G832" s="58" t="str">
        <f aca="false">VLOOKUP(F832,Countries!$A$2:$B$11,2,0)</f>
        <v>Iraq</v>
      </c>
      <c r="H832" s="13" t="n">
        <v>9</v>
      </c>
      <c r="I832" s="13" t="n">
        <v>93600</v>
      </c>
      <c r="J832" s="0" t="s">
        <v>14</v>
      </c>
      <c r="K832" s="0" t="s">
        <v>863</v>
      </c>
    </row>
    <row r="833" customFormat="false" ht="12.8" hidden="false" customHeight="false" outlineLevel="0" collapsed="false">
      <c r="A833" s="57" t="n">
        <v>46264</v>
      </c>
      <c r="B833" s="0" t="s">
        <v>925</v>
      </c>
      <c r="C833" s="0" t="s">
        <v>21</v>
      </c>
      <c r="D833" s="0" t="s">
        <v>64</v>
      </c>
      <c r="E833" s="58" t="str">
        <f aca="false">VLOOKUP(D833,Models!$A$2:$B$13,2,0)</f>
        <v>32-inch Smart TV</v>
      </c>
      <c r="F833" s="0" t="s">
        <v>83</v>
      </c>
      <c r="G833" s="58" t="str">
        <f aca="false">VLOOKUP(F833,Countries!$A$2:$B$11,2,0)</f>
        <v>United Arab Emirates</v>
      </c>
      <c r="H833" s="13" t="n">
        <v>53</v>
      </c>
      <c r="I833" s="13" t="n">
        <v>243800</v>
      </c>
      <c r="J833" s="0" t="s">
        <v>14</v>
      </c>
      <c r="K833" s="0" t="s">
        <v>863</v>
      </c>
    </row>
    <row r="834" customFormat="false" ht="12.8" hidden="false" customHeight="false" outlineLevel="0" collapsed="false">
      <c r="A834" s="57" t="n">
        <v>46264</v>
      </c>
      <c r="B834" s="0" t="s">
        <v>926</v>
      </c>
      <c r="C834" s="0" t="s">
        <v>21</v>
      </c>
      <c r="D834" s="0" t="s">
        <v>109</v>
      </c>
      <c r="E834" s="58" t="str">
        <f aca="false">VLOOKUP(D834,Models!$A$2:$B$13,2,0)</f>
        <v>55-inch QLED TV</v>
      </c>
      <c r="F834" s="0" t="s">
        <v>69</v>
      </c>
      <c r="G834" s="58" t="str">
        <f aca="false">VLOOKUP(F834,Countries!$A$2:$B$11,2,0)</f>
        <v>Egypt</v>
      </c>
      <c r="H834" s="13" t="n">
        <v>6</v>
      </c>
      <c r="I834" s="13" t="n">
        <v>93600</v>
      </c>
      <c r="J834" s="0" t="s">
        <v>14</v>
      </c>
      <c r="K834" s="0" t="s">
        <v>863</v>
      </c>
    </row>
    <row r="835" customFormat="false" ht="12.8" hidden="false" customHeight="false" outlineLevel="0" collapsed="false">
      <c r="A835" s="57" t="n">
        <v>46264</v>
      </c>
      <c r="B835" s="0" t="s">
        <v>927</v>
      </c>
      <c r="C835" s="0" t="s">
        <v>21</v>
      </c>
      <c r="D835" s="0" t="s">
        <v>64</v>
      </c>
      <c r="E835" s="58" t="str">
        <f aca="false">VLOOKUP(D835,Models!$A$2:$B$13,2,0)</f>
        <v>32-inch Smart TV</v>
      </c>
      <c r="F835" s="0" t="s">
        <v>69</v>
      </c>
      <c r="G835" s="58" t="str">
        <f aca="false">VLOOKUP(F835,Countries!$A$2:$B$11,2,0)</f>
        <v>Egypt</v>
      </c>
      <c r="H835" s="13" t="n">
        <v>43</v>
      </c>
      <c r="I835" s="13" t="n">
        <v>197800</v>
      </c>
      <c r="J835" s="0" t="s">
        <v>14</v>
      </c>
      <c r="K835" s="0" t="s">
        <v>863</v>
      </c>
    </row>
    <row r="836" customFormat="false" ht="12.8" hidden="false" customHeight="false" outlineLevel="0" collapsed="false">
      <c r="A836" s="57" t="n">
        <v>46265</v>
      </c>
      <c r="B836" s="0" t="s">
        <v>928</v>
      </c>
      <c r="C836" s="0" t="s">
        <v>13</v>
      </c>
      <c r="D836" s="0" t="s">
        <v>85</v>
      </c>
      <c r="E836" s="58" t="str">
        <f aca="false">VLOOKUP(D836,Models!$A$2:$B$13,2,0)</f>
        <v>75-inch 4K TV</v>
      </c>
      <c r="F836" s="0" t="s">
        <v>69</v>
      </c>
      <c r="G836" s="58" t="str">
        <f aca="false">VLOOKUP(F836,Countries!$A$2:$B$11,2,0)</f>
        <v>Egypt</v>
      </c>
      <c r="H836" s="13" t="n">
        <v>11</v>
      </c>
      <c r="I836" s="13" t="n">
        <v>343200</v>
      </c>
      <c r="J836" s="0" t="s">
        <v>14</v>
      </c>
      <c r="K836" s="0" t="s">
        <v>863</v>
      </c>
    </row>
    <row r="837" customFormat="false" ht="12.8" hidden="false" customHeight="false" outlineLevel="0" collapsed="false">
      <c r="A837" s="57" t="n">
        <v>46265</v>
      </c>
      <c r="B837" s="0" t="s">
        <v>929</v>
      </c>
      <c r="C837" s="0" t="s">
        <v>13</v>
      </c>
      <c r="D837" s="0" t="s">
        <v>109</v>
      </c>
      <c r="E837" s="58" t="str">
        <f aca="false">VLOOKUP(D837,Models!$A$2:$B$13,2,0)</f>
        <v>55-inch QLED TV</v>
      </c>
      <c r="F837" s="0" t="s">
        <v>79</v>
      </c>
      <c r="G837" s="58" t="str">
        <f aca="false">VLOOKUP(F837,Countries!$A$2:$B$11,2,0)</f>
        <v>Iraq</v>
      </c>
      <c r="H837" s="13" t="n">
        <v>23</v>
      </c>
      <c r="I837" s="13" t="n">
        <v>358800</v>
      </c>
      <c r="J837" s="0" t="s">
        <v>14</v>
      </c>
      <c r="K837" s="0" t="s">
        <v>863</v>
      </c>
    </row>
    <row r="838" customFormat="false" ht="12.8" hidden="false" customHeight="false" outlineLevel="0" collapsed="false">
      <c r="A838" s="57" t="n">
        <v>46265</v>
      </c>
      <c r="B838" s="0" t="s">
        <v>930</v>
      </c>
      <c r="C838" s="0" t="s">
        <v>13</v>
      </c>
      <c r="D838" s="0" t="s">
        <v>64</v>
      </c>
      <c r="E838" s="58" t="str">
        <f aca="false">VLOOKUP(D838,Models!$A$2:$B$13,2,0)</f>
        <v>32-inch Smart TV</v>
      </c>
      <c r="F838" s="0" t="s">
        <v>69</v>
      </c>
      <c r="G838" s="58" t="str">
        <f aca="false">VLOOKUP(F838,Countries!$A$2:$B$11,2,0)</f>
        <v>Egypt</v>
      </c>
      <c r="H838" s="13" t="n">
        <v>16</v>
      </c>
      <c r="I838" s="13" t="n">
        <v>73600</v>
      </c>
      <c r="J838" s="0" t="s">
        <v>14</v>
      </c>
      <c r="K838" s="0" t="s">
        <v>863</v>
      </c>
    </row>
    <row r="839" customFormat="false" ht="12.8" hidden="false" customHeight="false" outlineLevel="0" collapsed="false">
      <c r="A839" s="57" t="n">
        <v>46265</v>
      </c>
      <c r="B839" s="0" t="s">
        <v>931</v>
      </c>
      <c r="C839" s="0" t="s">
        <v>13</v>
      </c>
      <c r="D839" s="0" t="s">
        <v>90</v>
      </c>
      <c r="E839" s="58" t="str">
        <f aca="false">VLOOKUP(D839,Models!$A$2:$B$13,2,0)</f>
        <v>55-inch 4K TV</v>
      </c>
      <c r="F839" s="0" t="s">
        <v>69</v>
      </c>
      <c r="G839" s="58" t="str">
        <f aca="false">VLOOKUP(F839,Countries!$A$2:$B$11,2,0)</f>
        <v>Egypt</v>
      </c>
      <c r="H839" s="13" t="n">
        <v>22</v>
      </c>
      <c r="I839" s="13" t="n">
        <v>270600</v>
      </c>
      <c r="J839" s="0" t="s">
        <v>14</v>
      </c>
      <c r="K839" s="0" t="s">
        <v>863</v>
      </c>
    </row>
    <row r="840" customFormat="false" ht="12.8" hidden="false" customHeight="false" outlineLevel="0" collapsed="false">
      <c r="A840" s="57" t="n">
        <v>46265</v>
      </c>
      <c r="B840" s="0" t="s">
        <v>932</v>
      </c>
      <c r="C840" s="0" t="s">
        <v>13</v>
      </c>
      <c r="D840" s="0" t="s">
        <v>109</v>
      </c>
      <c r="E840" s="58" t="str">
        <f aca="false">VLOOKUP(D840,Models!$A$2:$B$13,2,0)</f>
        <v>55-inch QLED TV</v>
      </c>
      <c r="F840" s="0" t="s">
        <v>69</v>
      </c>
      <c r="G840" s="58" t="str">
        <f aca="false">VLOOKUP(F840,Countries!$A$2:$B$11,2,0)</f>
        <v>Egypt</v>
      </c>
      <c r="H840" s="13" t="n">
        <v>14</v>
      </c>
      <c r="I840" s="13" t="n">
        <v>218400</v>
      </c>
      <c r="J840" s="0" t="s">
        <v>14</v>
      </c>
      <c r="K840" s="0" t="s">
        <v>863</v>
      </c>
    </row>
    <row r="841" customFormat="false" ht="12.8" hidden="false" customHeight="false" outlineLevel="0" collapsed="false">
      <c r="A841" s="57" t="n">
        <v>46265</v>
      </c>
      <c r="B841" s="0" t="s">
        <v>933</v>
      </c>
      <c r="C841" s="0" t="s">
        <v>15</v>
      </c>
      <c r="D841" s="0" t="s">
        <v>85</v>
      </c>
      <c r="E841" s="58" t="str">
        <f aca="false">VLOOKUP(D841,Models!$A$2:$B$13,2,0)</f>
        <v>75-inch 4K TV</v>
      </c>
      <c r="F841" s="0" t="s">
        <v>69</v>
      </c>
      <c r="G841" s="58" t="str">
        <f aca="false">VLOOKUP(F841,Countries!$A$2:$B$11,2,0)</f>
        <v>Egypt</v>
      </c>
      <c r="H841" s="13" t="n">
        <v>16</v>
      </c>
      <c r="I841" s="13" t="n">
        <v>499200</v>
      </c>
      <c r="J841" s="0" t="s">
        <v>14</v>
      </c>
      <c r="K841" s="0" t="s">
        <v>863</v>
      </c>
    </row>
    <row r="842" customFormat="false" ht="12.8" hidden="false" customHeight="false" outlineLevel="0" collapsed="false">
      <c r="A842" s="57" t="n">
        <v>46265</v>
      </c>
      <c r="B842" s="0" t="s">
        <v>934</v>
      </c>
      <c r="C842" s="0" t="s">
        <v>17</v>
      </c>
      <c r="D842" s="0" t="s">
        <v>109</v>
      </c>
      <c r="E842" s="58" t="str">
        <f aca="false">VLOOKUP(D842,Models!$A$2:$B$13,2,0)</f>
        <v>55-inch QLED TV</v>
      </c>
      <c r="F842" s="0" t="s">
        <v>69</v>
      </c>
      <c r="G842" s="58" t="str">
        <f aca="false">VLOOKUP(F842,Countries!$A$2:$B$11,2,0)</f>
        <v>Egypt</v>
      </c>
      <c r="H842" s="13" t="n">
        <v>11</v>
      </c>
      <c r="I842" s="13" t="n">
        <v>171600</v>
      </c>
      <c r="J842" s="0" t="s">
        <v>14</v>
      </c>
      <c r="K842" s="0" t="s">
        <v>863</v>
      </c>
    </row>
    <row r="843" customFormat="false" ht="12.8" hidden="false" customHeight="false" outlineLevel="0" collapsed="false">
      <c r="A843" s="57" t="n">
        <v>46265</v>
      </c>
      <c r="B843" s="0" t="s">
        <v>935</v>
      </c>
      <c r="C843" s="0" t="s">
        <v>17</v>
      </c>
      <c r="D843" s="0" t="s">
        <v>88</v>
      </c>
      <c r="E843" s="58" t="str">
        <f aca="false">VLOOKUP(D843,Models!$A$2:$B$13,2,0)</f>
        <v>24-inch HD TV</v>
      </c>
      <c r="F843" s="0" t="s">
        <v>69</v>
      </c>
      <c r="G843" s="58" t="str">
        <f aca="false">VLOOKUP(F843,Countries!$A$2:$B$11,2,0)</f>
        <v>Egypt</v>
      </c>
      <c r="H843" s="13" t="n">
        <v>38</v>
      </c>
      <c r="I843" s="13" t="n">
        <v>110200</v>
      </c>
      <c r="J843" s="0" t="s">
        <v>14</v>
      </c>
      <c r="K843" s="0" t="s">
        <v>863</v>
      </c>
    </row>
    <row r="844" customFormat="false" ht="12.8" hidden="false" customHeight="false" outlineLevel="0" collapsed="false">
      <c r="A844" s="57" t="n">
        <v>46265</v>
      </c>
      <c r="B844" s="0" t="s">
        <v>936</v>
      </c>
      <c r="C844" s="0" t="s">
        <v>19</v>
      </c>
      <c r="D844" s="0" t="s">
        <v>90</v>
      </c>
      <c r="E844" s="58" t="str">
        <f aca="false">VLOOKUP(D844,Models!$A$2:$B$13,2,0)</f>
        <v>55-inch 4K TV</v>
      </c>
      <c r="F844" s="0" t="s">
        <v>98</v>
      </c>
      <c r="G844" s="58" t="str">
        <f aca="false">VLOOKUP(F844,Countries!$A$2:$B$11,2,0)</f>
        <v>Libya</v>
      </c>
      <c r="H844" s="13" t="n">
        <v>24</v>
      </c>
      <c r="I844" s="13" t="n">
        <v>295200</v>
      </c>
      <c r="J844" s="0" t="s">
        <v>14</v>
      </c>
      <c r="K844" s="0" t="s">
        <v>863</v>
      </c>
    </row>
    <row r="845" customFormat="false" ht="12.8" hidden="false" customHeight="false" outlineLevel="0" collapsed="false">
      <c r="A845" s="57" t="n">
        <v>46265</v>
      </c>
      <c r="B845" s="0" t="s">
        <v>937</v>
      </c>
      <c r="C845" s="0" t="s">
        <v>19</v>
      </c>
      <c r="D845" s="0" t="s">
        <v>92</v>
      </c>
      <c r="E845" s="58" t="str">
        <f aca="false">VLOOKUP(D845,Models!$A$2:$B$13,2,0)</f>
        <v>65-inch 4K TV</v>
      </c>
      <c r="F845" s="0" t="s">
        <v>65</v>
      </c>
      <c r="G845" s="58" t="str">
        <f aca="false">VLOOKUP(F845,Countries!$A$2:$B$11,2,0)</f>
        <v>Jordan</v>
      </c>
      <c r="H845" s="13" t="n">
        <v>16</v>
      </c>
      <c r="I845" s="13" t="n">
        <v>316800</v>
      </c>
      <c r="J845" s="0" t="s">
        <v>14</v>
      </c>
      <c r="K845" s="0" t="s">
        <v>863</v>
      </c>
    </row>
    <row r="846" customFormat="false" ht="12.8" hidden="false" customHeight="false" outlineLevel="0" collapsed="false">
      <c r="A846" s="57" t="n">
        <v>46265</v>
      </c>
      <c r="B846" s="0" t="s">
        <v>938</v>
      </c>
      <c r="C846" s="0" t="s">
        <v>20</v>
      </c>
      <c r="D846" s="0" t="s">
        <v>95</v>
      </c>
      <c r="E846" s="58" t="str">
        <f aca="false">VLOOKUP(D846,Models!$A$2:$B$13,2,0)</f>
        <v>32-inch HD TV</v>
      </c>
      <c r="F846" s="0" t="s">
        <v>69</v>
      </c>
      <c r="G846" s="58" t="str">
        <f aca="false">VLOOKUP(F846,Countries!$A$2:$B$11,2,0)</f>
        <v>Egypt</v>
      </c>
      <c r="H846" s="13" t="n">
        <v>10</v>
      </c>
      <c r="I846" s="13" t="n">
        <v>39000</v>
      </c>
      <c r="J846" s="0" t="s">
        <v>14</v>
      </c>
      <c r="K846" s="0" t="s">
        <v>863</v>
      </c>
    </row>
    <row r="847" customFormat="false" ht="12.8" hidden="false" customHeight="false" outlineLevel="0" collapsed="false">
      <c r="A847" s="57" t="n">
        <v>46265</v>
      </c>
      <c r="B847" s="0" t="s">
        <v>939</v>
      </c>
      <c r="C847" s="0" t="s">
        <v>21</v>
      </c>
      <c r="D847" s="0" t="s">
        <v>95</v>
      </c>
      <c r="E847" s="58" t="str">
        <f aca="false">VLOOKUP(D847,Models!$A$2:$B$13,2,0)</f>
        <v>32-inch HD TV</v>
      </c>
      <c r="F847" s="0" t="s">
        <v>69</v>
      </c>
      <c r="G847" s="58" t="str">
        <f aca="false">VLOOKUP(F847,Countries!$A$2:$B$11,2,0)</f>
        <v>Egypt</v>
      </c>
      <c r="H847" s="13" t="n">
        <v>18</v>
      </c>
      <c r="I847" s="13" t="n">
        <v>70200</v>
      </c>
      <c r="J847" s="0" t="s">
        <v>14</v>
      </c>
      <c r="K847" s="0" t="s">
        <v>863</v>
      </c>
    </row>
    <row r="848" customFormat="false" ht="12.8" hidden="false" customHeight="false" outlineLevel="0" collapsed="false">
      <c r="A848" s="57" t="n">
        <v>46266</v>
      </c>
      <c r="B848" s="0" t="s">
        <v>940</v>
      </c>
      <c r="C848" s="0" t="s">
        <v>13</v>
      </c>
      <c r="D848" s="0" t="s">
        <v>95</v>
      </c>
      <c r="E848" s="58" t="str">
        <f aca="false">VLOOKUP(D848,Models!$A$2:$B$13,2,0)</f>
        <v>32-inch HD TV</v>
      </c>
      <c r="F848" s="0" t="s">
        <v>69</v>
      </c>
      <c r="G848" s="58" t="str">
        <f aca="false">VLOOKUP(F848,Countries!$A$2:$B$11,2,0)</f>
        <v>Egypt</v>
      </c>
      <c r="H848" s="13" t="n">
        <v>27</v>
      </c>
      <c r="I848" s="13" t="n">
        <v>105300</v>
      </c>
      <c r="J848" s="0" t="s">
        <v>16</v>
      </c>
      <c r="K848" s="0" t="s">
        <v>863</v>
      </c>
    </row>
    <row r="849" customFormat="false" ht="12.8" hidden="false" customHeight="false" outlineLevel="0" collapsed="false">
      <c r="A849" s="57" t="n">
        <v>46266</v>
      </c>
      <c r="B849" s="0" t="s">
        <v>941</v>
      </c>
      <c r="C849" s="0" t="s">
        <v>13</v>
      </c>
      <c r="D849" s="0" t="s">
        <v>64</v>
      </c>
      <c r="E849" s="58" t="str">
        <f aca="false">VLOOKUP(D849,Models!$A$2:$B$13,2,0)</f>
        <v>32-inch Smart TV</v>
      </c>
      <c r="F849" s="0" t="s">
        <v>69</v>
      </c>
      <c r="G849" s="58" t="str">
        <f aca="false">VLOOKUP(F849,Countries!$A$2:$B$11,2,0)</f>
        <v>Egypt</v>
      </c>
      <c r="H849" s="13" t="n">
        <v>28</v>
      </c>
      <c r="I849" s="13" t="n">
        <v>128800</v>
      </c>
      <c r="J849" s="0" t="s">
        <v>16</v>
      </c>
      <c r="K849" s="0" t="s">
        <v>863</v>
      </c>
    </row>
    <row r="850" customFormat="false" ht="12.8" hidden="false" customHeight="false" outlineLevel="0" collapsed="false">
      <c r="A850" s="57" t="n">
        <v>46266</v>
      </c>
      <c r="B850" s="0" t="s">
        <v>942</v>
      </c>
      <c r="C850" s="0" t="s">
        <v>13</v>
      </c>
      <c r="D850" s="0" t="s">
        <v>71</v>
      </c>
      <c r="E850" s="58" t="str">
        <f aca="false">VLOOKUP(D850,Models!$A$2:$B$13,2,0)</f>
        <v>43-inch Full HD TV</v>
      </c>
      <c r="F850" s="0" t="s">
        <v>69</v>
      </c>
      <c r="G850" s="58" t="str">
        <f aca="false">VLOOKUP(F850,Countries!$A$2:$B$11,2,0)</f>
        <v>Egypt</v>
      </c>
      <c r="H850" s="13" t="n">
        <v>14</v>
      </c>
      <c r="I850" s="13" t="n">
        <v>96600</v>
      </c>
      <c r="J850" s="0" t="s">
        <v>16</v>
      </c>
      <c r="K850" s="0" t="s">
        <v>863</v>
      </c>
    </row>
    <row r="851" customFormat="false" ht="12.8" hidden="false" customHeight="false" outlineLevel="0" collapsed="false">
      <c r="A851" s="57" t="n">
        <v>46266</v>
      </c>
      <c r="B851" s="0" t="s">
        <v>943</v>
      </c>
      <c r="C851" s="0" t="s">
        <v>13</v>
      </c>
      <c r="D851" s="0" t="s">
        <v>92</v>
      </c>
      <c r="E851" s="58" t="str">
        <f aca="false">VLOOKUP(D851,Models!$A$2:$B$13,2,0)</f>
        <v>65-inch 4K TV</v>
      </c>
      <c r="F851" s="0" t="s">
        <v>177</v>
      </c>
      <c r="G851" s="58" t="str">
        <f aca="false">VLOOKUP(F851,Countries!$A$2:$B$11,2,0)</f>
        <v>Saudi Arabia</v>
      </c>
      <c r="H851" s="13" t="n">
        <v>11</v>
      </c>
      <c r="I851" s="13" t="n">
        <v>217800</v>
      </c>
      <c r="J851" s="0" t="s">
        <v>16</v>
      </c>
      <c r="K851" s="0" t="s">
        <v>863</v>
      </c>
    </row>
    <row r="852" customFormat="false" ht="12.8" hidden="false" customHeight="false" outlineLevel="0" collapsed="false">
      <c r="A852" s="57" t="n">
        <v>46266</v>
      </c>
      <c r="B852" s="0" t="s">
        <v>944</v>
      </c>
      <c r="C852" s="0" t="s">
        <v>15</v>
      </c>
      <c r="D852" s="0" t="s">
        <v>74</v>
      </c>
      <c r="E852" s="58" t="str">
        <f aca="false">VLOOKUP(D852,Models!$A$2:$B$13,2,0)</f>
        <v>40-inch Full HD TV</v>
      </c>
      <c r="F852" s="0" t="s">
        <v>69</v>
      </c>
      <c r="G852" s="58" t="str">
        <f aca="false">VLOOKUP(F852,Countries!$A$2:$B$11,2,0)</f>
        <v>Egypt</v>
      </c>
      <c r="H852" s="13" t="n">
        <v>32</v>
      </c>
      <c r="I852" s="13" t="n">
        <v>198400</v>
      </c>
      <c r="J852" s="0" t="s">
        <v>16</v>
      </c>
      <c r="K852" s="0" t="s">
        <v>863</v>
      </c>
    </row>
    <row r="853" customFormat="false" ht="12.8" hidden="false" customHeight="false" outlineLevel="0" collapsed="false">
      <c r="A853" s="57" t="n">
        <v>46266</v>
      </c>
      <c r="B853" s="0" t="s">
        <v>945</v>
      </c>
      <c r="C853" s="0" t="s">
        <v>15</v>
      </c>
      <c r="D853" s="0" t="s">
        <v>85</v>
      </c>
      <c r="E853" s="58" t="str">
        <f aca="false">VLOOKUP(D853,Models!$A$2:$B$13,2,0)</f>
        <v>75-inch 4K TV</v>
      </c>
      <c r="F853" s="0" t="s">
        <v>72</v>
      </c>
      <c r="G853" s="58" t="str">
        <f aca="false">VLOOKUP(F853,Countries!$A$2:$B$11,2,0)</f>
        <v>Kenya</v>
      </c>
      <c r="H853" s="13" t="n">
        <v>16</v>
      </c>
      <c r="I853" s="13" t="n">
        <v>499200</v>
      </c>
      <c r="J853" s="0" t="s">
        <v>16</v>
      </c>
      <c r="K853" s="0" t="s">
        <v>863</v>
      </c>
    </row>
    <row r="854" customFormat="false" ht="12.8" hidden="false" customHeight="false" outlineLevel="0" collapsed="false">
      <c r="A854" s="57" t="n">
        <v>46266</v>
      </c>
      <c r="B854" s="0" t="s">
        <v>946</v>
      </c>
      <c r="C854" s="0" t="s">
        <v>15</v>
      </c>
      <c r="D854" s="0" t="s">
        <v>77</v>
      </c>
      <c r="E854" s="58" t="str">
        <f aca="false">VLOOKUP(D854,Models!$A$2:$B$13,2,0)</f>
        <v>65-inch QLED TV</v>
      </c>
      <c r="F854" s="0" t="s">
        <v>75</v>
      </c>
      <c r="G854" s="58" t="str">
        <f aca="false">VLOOKUP(F854,Countries!$A$2:$B$11,2,0)</f>
        <v>Nigeria</v>
      </c>
      <c r="H854" s="13" t="n">
        <v>12</v>
      </c>
      <c r="I854" s="13" t="n">
        <v>294000</v>
      </c>
      <c r="J854" s="0" t="s">
        <v>16</v>
      </c>
      <c r="K854" s="0" t="s">
        <v>863</v>
      </c>
    </row>
    <row r="855" customFormat="false" ht="12.8" hidden="false" customHeight="false" outlineLevel="0" collapsed="false">
      <c r="A855" s="57" t="n">
        <v>46266</v>
      </c>
      <c r="B855" s="0" t="s">
        <v>947</v>
      </c>
      <c r="C855" s="0" t="s">
        <v>17</v>
      </c>
      <c r="D855" s="0" t="s">
        <v>71</v>
      </c>
      <c r="E855" s="58" t="str">
        <f aca="false">VLOOKUP(D855,Models!$A$2:$B$13,2,0)</f>
        <v>43-inch Full HD TV</v>
      </c>
      <c r="F855" s="0" t="s">
        <v>98</v>
      </c>
      <c r="G855" s="58" t="str">
        <f aca="false">VLOOKUP(F855,Countries!$A$2:$B$11,2,0)</f>
        <v>Libya</v>
      </c>
      <c r="H855" s="13" t="n">
        <v>20</v>
      </c>
      <c r="I855" s="13" t="n">
        <v>138000</v>
      </c>
      <c r="J855" s="0" t="s">
        <v>16</v>
      </c>
      <c r="K855" s="0" t="s">
        <v>863</v>
      </c>
    </row>
    <row r="856" customFormat="false" ht="12.8" hidden="false" customHeight="false" outlineLevel="0" collapsed="false">
      <c r="A856" s="57" t="n">
        <v>46266</v>
      </c>
      <c r="B856" s="0" t="s">
        <v>948</v>
      </c>
      <c r="C856" s="0" t="s">
        <v>17</v>
      </c>
      <c r="D856" s="0" t="s">
        <v>95</v>
      </c>
      <c r="E856" s="58" t="str">
        <f aca="false">VLOOKUP(D856,Models!$A$2:$B$13,2,0)</f>
        <v>32-inch HD TV</v>
      </c>
      <c r="F856" s="0" t="s">
        <v>69</v>
      </c>
      <c r="G856" s="58" t="str">
        <f aca="false">VLOOKUP(F856,Countries!$A$2:$B$11,2,0)</f>
        <v>Egypt</v>
      </c>
      <c r="H856" s="13" t="n">
        <v>62</v>
      </c>
      <c r="I856" s="13" t="n">
        <v>241800</v>
      </c>
      <c r="J856" s="0" t="s">
        <v>16</v>
      </c>
      <c r="K856" s="0" t="s">
        <v>863</v>
      </c>
    </row>
    <row r="857" customFormat="false" ht="12.8" hidden="false" customHeight="false" outlineLevel="0" collapsed="false">
      <c r="A857" s="57" t="n">
        <v>46266</v>
      </c>
      <c r="B857" s="0" t="s">
        <v>949</v>
      </c>
      <c r="C857" s="0" t="s">
        <v>17</v>
      </c>
      <c r="D857" s="0" t="s">
        <v>109</v>
      </c>
      <c r="E857" s="58" t="str">
        <f aca="false">VLOOKUP(D857,Models!$A$2:$B$13,2,0)</f>
        <v>55-inch QLED TV</v>
      </c>
      <c r="F857" s="0" t="s">
        <v>72</v>
      </c>
      <c r="G857" s="58" t="str">
        <f aca="false">VLOOKUP(F857,Countries!$A$2:$B$11,2,0)</f>
        <v>Kenya</v>
      </c>
      <c r="H857" s="13" t="n">
        <v>8</v>
      </c>
      <c r="I857" s="13" t="n">
        <v>124800</v>
      </c>
      <c r="J857" s="0" t="s">
        <v>16</v>
      </c>
      <c r="K857" s="0" t="s">
        <v>863</v>
      </c>
    </row>
    <row r="858" customFormat="false" ht="12.8" hidden="false" customHeight="false" outlineLevel="0" collapsed="false">
      <c r="A858" s="57" t="n">
        <v>46266</v>
      </c>
      <c r="B858" s="0" t="s">
        <v>950</v>
      </c>
      <c r="C858" s="0" t="s">
        <v>17</v>
      </c>
      <c r="D858" s="0" t="s">
        <v>71</v>
      </c>
      <c r="E858" s="58" t="str">
        <f aca="false">VLOOKUP(D858,Models!$A$2:$B$13,2,0)</f>
        <v>43-inch Full HD TV</v>
      </c>
      <c r="F858" s="0" t="s">
        <v>69</v>
      </c>
      <c r="G858" s="58" t="str">
        <f aca="false">VLOOKUP(F858,Countries!$A$2:$B$11,2,0)</f>
        <v>Egypt</v>
      </c>
      <c r="H858" s="13" t="n">
        <v>5</v>
      </c>
      <c r="I858" s="13" t="n">
        <v>34500</v>
      </c>
      <c r="J858" s="0" t="s">
        <v>16</v>
      </c>
      <c r="K858" s="0" t="s">
        <v>863</v>
      </c>
    </row>
    <row r="859" customFormat="false" ht="12.8" hidden="false" customHeight="false" outlineLevel="0" collapsed="false">
      <c r="A859" s="57" t="n">
        <v>46266</v>
      </c>
      <c r="B859" s="0" t="s">
        <v>951</v>
      </c>
      <c r="C859" s="0" t="s">
        <v>17</v>
      </c>
      <c r="D859" s="0" t="s">
        <v>92</v>
      </c>
      <c r="E859" s="58" t="str">
        <f aca="false">VLOOKUP(D859,Models!$A$2:$B$13,2,0)</f>
        <v>65-inch 4K TV</v>
      </c>
      <c r="F859" s="0" t="s">
        <v>69</v>
      </c>
      <c r="G859" s="58" t="str">
        <f aca="false">VLOOKUP(F859,Countries!$A$2:$B$11,2,0)</f>
        <v>Egypt</v>
      </c>
      <c r="H859" s="13" t="n">
        <v>7</v>
      </c>
      <c r="I859" s="13" t="n">
        <v>138600</v>
      </c>
      <c r="J859" s="0" t="s">
        <v>16</v>
      </c>
      <c r="K859" s="0" t="s">
        <v>863</v>
      </c>
    </row>
    <row r="860" customFormat="false" ht="12.8" hidden="false" customHeight="false" outlineLevel="0" collapsed="false">
      <c r="A860" s="57" t="n">
        <v>46266</v>
      </c>
      <c r="B860" s="0" t="s">
        <v>952</v>
      </c>
      <c r="C860" s="0" t="s">
        <v>19</v>
      </c>
      <c r="D860" s="0" t="s">
        <v>109</v>
      </c>
      <c r="E860" s="58" t="str">
        <f aca="false">VLOOKUP(D860,Models!$A$2:$B$13,2,0)</f>
        <v>55-inch QLED TV</v>
      </c>
      <c r="F860" s="0" t="s">
        <v>69</v>
      </c>
      <c r="G860" s="58" t="str">
        <f aca="false">VLOOKUP(F860,Countries!$A$2:$B$11,2,0)</f>
        <v>Egypt</v>
      </c>
      <c r="H860" s="13" t="n">
        <v>6</v>
      </c>
      <c r="I860" s="13" t="n">
        <v>93600</v>
      </c>
      <c r="J860" s="0" t="s">
        <v>16</v>
      </c>
      <c r="K860" s="0" t="s">
        <v>863</v>
      </c>
    </row>
    <row r="861" customFormat="false" ht="12.8" hidden="false" customHeight="false" outlineLevel="0" collapsed="false">
      <c r="A861" s="57" t="n">
        <v>46266</v>
      </c>
      <c r="B861" s="0" t="s">
        <v>953</v>
      </c>
      <c r="C861" s="0" t="s">
        <v>20</v>
      </c>
      <c r="D861" s="0" t="s">
        <v>68</v>
      </c>
      <c r="E861" s="58" t="str">
        <f aca="false">VLOOKUP(D861,Models!$A$2:$B$13,2,0)</f>
        <v>50-inch 4K TV</v>
      </c>
      <c r="F861" s="0" t="s">
        <v>69</v>
      </c>
      <c r="G861" s="58" t="str">
        <f aca="false">VLOOKUP(F861,Countries!$A$2:$B$11,2,0)</f>
        <v>Egypt</v>
      </c>
      <c r="H861" s="13" t="n">
        <v>26</v>
      </c>
      <c r="I861" s="13" t="n">
        <v>270400</v>
      </c>
      <c r="J861" s="0" t="s">
        <v>16</v>
      </c>
      <c r="K861" s="0" t="s">
        <v>863</v>
      </c>
    </row>
    <row r="862" customFormat="false" ht="12.8" hidden="false" customHeight="false" outlineLevel="0" collapsed="false">
      <c r="A862" s="57" t="n">
        <v>46266</v>
      </c>
      <c r="B862" s="0" t="s">
        <v>954</v>
      </c>
      <c r="C862" s="0" t="s">
        <v>21</v>
      </c>
      <c r="D862" s="0" t="s">
        <v>88</v>
      </c>
      <c r="E862" s="58" t="str">
        <f aca="false">VLOOKUP(D862,Models!$A$2:$B$13,2,0)</f>
        <v>24-inch HD TV</v>
      </c>
      <c r="F862" s="0" t="s">
        <v>98</v>
      </c>
      <c r="G862" s="58" t="str">
        <f aca="false">VLOOKUP(F862,Countries!$A$2:$B$11,2,0)</f>
        <v>Libya</v>
      </c>
      <c r="H862" s="13" t="n">
        <v>17</v>
      </c>
      <c r="I862" s="13" t="n">
        <v>49300</v>
      </c>
      <c r="J862" s="0" t="s">
        <v>16</v>
      </c>
      <c r="K862" s="0" t="s">
        <v>863</v>
      </c>
    </row>
    <row r="863" customFormat="false" ht="12.8" hidden="false" customHeight="false" outlineLevel="0" collapsed="false">
      <c r="A863" s="57" t="n">
        <v>46266</v>
      </c>
      <c r="B863" s="0" t="s">
        <v>955</v>
      </c>
      <c r="C863" s="0" t="s">
        <v>21</v>
      </c>
      <c r="D863" s="0" t="s">
        <v>77</v>
      </c>
      <c r="E863" s="58" t="str">
        <f aca="false">VLOOKUP(D863,Models!$A$2:$B$13,2,0)</f>
        <v>65-inch QLED TV</v>
      </c>
      <c r="F863" s="0" t="s">
        <v>69</v>
      </c>
      <c r="G863" s="58" t="str">
        <f aca="false">VLOOKUP(F863,Countries!$A$2:$B$11,2,0)</f>
        <v>Egypt</v>
      </c>
      <c r="H863" s="13" t="n">
        <v>15</v>
      </c>
      <c r="I863" s="13" t="n">
        <v>367500</v>
      </c>
      <c r="J863" s="0" t="s">
        <v>16</v>
      </c>
      <c r="K863" s="0" t="s">
        <v>863</v>
      </c>
    </row>
    <row r="864" customFormat="false" ht="12.8" hidden="false" customHeight="false" outlineLevel="0" collapsed="false">
      <c r="A864" s="57" t="n">
        <v>46266</v>
      </c>
      <c r="B864" s="0" t="s">
        <v>956</v>
      </c>
      <c r="C864" s="0" t="s">
        <v>21</v>
      </c>
      <c r="D864" s="0" t="s">
        <v>92</v>
      </c>
      <c r="E864" s="58" t="str">
        <f aca="false">VLOOKUP(D864,Models!$A$2:$B$13,2,0)</f>
        <v>65-inch 4K TV</v>
      </c>
      <c r="F864" s="0" t="s">
        <v>103</v>
      </c>
      <c r="G864" s="58" t="str">
        <f aca="false">VLOOKUP(F864,Countries!$A$2:$B$11,2,0)</f>
        <v>Morocco</v>
      </c>
      <c r="H864" s="13" t="n">
        <v>14</v>
      </c>
      <c r="I864" s="13" t="n">
        <v>277200</v>
      </c>
      <c r="J864" s="0" t="s">
        <v>16</v>
      </c>
      <c r="K864" s="0" t="s">
        <v>863</v>
      </c>
    </row>
    <row r="865" customFormat="false" ht="12.8" hidden="false" customHeight="false" outlineLevel="0" collapsed="false">
      <c r="A865" s="57" t="n">
        <v>46267</v>
      </c>
      <c r="B865" s="0" t="s">
        <v>957</v>
      </c>
      <c r="C865" s="0" t="s">
        <v>13</v>
      </c>
      <c r="D865" s="0" t="s">
        <v>85</v>
      </c>
      <c r="E865" s="58" t="str">
        <f aca="false">VLOOKUP(D865,Models!$A$2:$B$13,2,0)</f>
        <v>75-inch 4K TV</v>
      </c>
      <c r="F865" s="0" t="s">
        <v>69</v>
      </c>
      <c r="G865" s="58" t="str">
        <f aca="false">VLOOKUP(F865,Countries!$A$2:$B$11,2,0)</f>
        <v>Egypt</v>
      </c>
      <c r="H865" s="13" t="n">
        <v>7</v>
      </c>
      <c r="I865" s="13" t="n">
        <v>218400</v>
      </c>
      <c r="J865" s="0" t="s">
        <v>16</v>
      </c>
      <c r="K865" s="0" t="s">
        <v>958</v>
      </c>
    </row>
    <row r="866" customFormat="false" ht="12.8" hidden="false" customHeight="false" outlineLevel="0" collapsed="false">
      <c r="A866" s="57" t="n">
        <v>46267</v>
      </c>
      <c r="B866" s="0" t="s">
        <v>959</v>
      </c>
      <c r="C866" s="0" t="s">
        <v>13</v>
      </c>
      <c r="D866" s="0" t="s">
        <v>64</v>
      </c>
      <c r="E866" s="58" t="str">
        <f aca="false">VLOOKUP(D866,Models!$A$2:$B$13,2,0)</f>
        <v>32-inch Smart TV</v>
      </c>
      <c r="F866" s="0" t="s">
        <v>177</v>
      </c>
      <c r="G866" s="58" t="str">
        <f aca="false">VLOOKUP(F866,Countries!$A$2:$B$11,2,0)</f>
        <v>Saudi Arabia</v>
      </c>
      <c r="H866" s="13" t="n">
        <v>43</v>
      </c>
      <c r="I866" s="13" t="n">
        <v>197800</v>
      </c>
      <c r="J866" s="0" t="s">
        <v>16</v>
      </c>
      <c r="K866" s="0" t="s">
        <v>958</v>
      </c>
    </row>
    <row r="867" customFormat="false" ht="12.8" hidden="false" customHeight="false" outlineLevel="0" collapsed="false">
      <c r="A867" s="57" t="n">
        <v>46267</v>
      </c>
      <c r="B867" s="0" t="s">
        <v>960</v>
      </c>
      <c r="C867" s="0" t="s">
        <v>15</v>
      </c>
      <c r="D867" s="0" t="s">
        <v>77</v>
      </c>
      <c r="E867" s="58" t="str">
        <f aca="false">VLOOKUP(D867,Models!$A$2:$B$13,2,0)</f>
        <v>65-inch QLED TV</v>
      </c>
      <c r="F867" s="0" t="s">
        <v>72</v>
      </c>
      <c r="G867" s="58" t="str">
        <f aca="false">VLOOKUP(F867,Countries!$A$2:$B$11,2,0)</f>
        <v>Kenya</v>
      </c>
      <c r="H867" s="13" t="n">
        <v>17</v>
      </c>
      <c r="I867" s="13" t="n">
        <v>416500</v>
      </c>
      <c r="J867" s="0" t="s">
        <v>16</v>
      </c>
      <c r="K867" s="0" t="s">
        <v>958</v>
      </c>
    </row>
    <row r="868" customFormat="false" ht="12.8" hidden="false" customHeight="false" outlineLevel="0" collapsed="false">
      <c r="A868" s="57" t="n">
        <v>46267</v>
      </c>
      <c r="B868" s="0" t="s">
        <v>961</v>
      </c>
      <c r="C868" s="0" t="s">
        <v>15</v>
      </c>
      <c r="D868" s="0" t="s">
        <v>90</v>
      </c>
      <c r="E868" s="58" t="str">
        <f aca="false">VLOOKUP(D868,Models!$A$2:$B$13,2,0)</f>
        <v>55-inch 4K TV</v>
      </c>
      <c r="F868" s="0" t="s">
        <v>69</v>
      </c>
      <c r="G868" s="58" t="str">
        <f aca="false">VLOOKUP(F868,Countries!$A$2:$B$11,2,0)</f>
        <v>Egypt</v>
      </c>
      <c r="H868" s="13" t="n">
        <v>27</v>
      </c>
      <c r="I868" s="13" t="n">
        <v>332100</v>
      </c>
      <c r="J868" s="0" t="s">
        <v>16</v>
      </c>
      <c r="K868" s="0" t="s">
        <v>958</v>
      </c>
    </row>
    <row r="869" customFormat="false" ht="12.8" hidden="false" customHeight="false" outlineLevel="0" collapsed="false">
      <c r="A869" s="57" t="n">
        <v>46267</v>
      </c>
      <c r="B869" s="0" t="s">
        <v>962</v>
      </c>
      <c r="C869" s="0" t="s">
        <v>15</v>
      </c>
      <c r="D869" s="0" t="s">
        <v>90</v>
      </c>
      <c r="E869" s="58" t="str">
        <f aca="false">VLOOKUP(D869,Models!$A$2:$B$13,2,0)</f>
        <v>55-inch 4K TV</v>
      </c>
      <c r="F869" s="0" t="s">
        <v>79</v>
      </c>
      <c r="G869" s="58" t="str">
        <f aca="false">VLOOKUP(F869,Countries!$A$2:$B$11,2,0)</f>
        <v>Iraq</v>
      </c>
      <c r="H869" s="13" t="n">
        <v>10</v>
      </c>
      <c r="I869" s="13" t="n">
        <v>123000</v>
      </c>
      <c r="J869" s="0" t="s">
        <v>16</v>
      </c>
      <c r="K869" s="0" t="s">
        <v>958</v>
      </c>
    </row>
    <row r="870" customFormat="false" ht="12.8" hidden="false" customHeight="false" outlineLevel="0" collapsed="false">
      <c r="A870" s="57" t="n">
        <v>46267</v>
      </c>
      <c r="B870" s="0" t="s">
        <v>963</v>
      </c>
      <c r="C870" s="0" t="s">
        <v>15</v>
      </c>
      <c r="D870" s="0" t="s">
        <v>90</v>
      </c>
      <c r="E870" s="58" t="str">
        <f aca="false">VLOOKUP(D870,Models!$A$2:$B$13,2,0)</f>
        <v>55-inch 4K TV</v>
      </c>
      <c r="F870" s="0" t="s">
        <v>177</v>
      </c>
      <c r="G870" s="58" t="str">
        <f aca="false">VLOOKUP(F870,Countries!$A$2:$B$11,2,0)</f>
        <v>Saudi Arabia</v>
      </c>
      <c r="H870" s="13" t="n">
        <v>25</v>
      </c>
      <c r="I870" s="13" t="n">
        <v>307500</v>
      </c>
      <c r="J870" s="0" t="s">
        <v>16</v>
      </c>
      <c r="K870" s="0" t="s">
        <v>958</v>
      </c>
    </row>
    <row r="871" customFormat="false" ht="12.8" hidden="false" customHeight="false" outlineLevel="0" collapsed="false">
      <c r="A871" s="57" t="n">
        <v>46267</v>
      </c>
      <c r="B871" s="0" t="s">
        <v>964</v>
      </c>
      <c r="C871" s="0" t="s">
        <v>17</v>
      </c>
      <c r="D871" s="0" t="s">
        <v>81</v>
      </c>
      <c r="E871" s="58" t="str">
        <f aca="false">VLOOKUP(D871,Models!$A$2:$B$13,2,0)</f>
        <v>43-inch Smart TV</v>
      </c>
      <c r="F871" s="0" t="s">
        <v>79</v>
      </c>
      <c r="G871" s="58" t="str">
        <f aca="false">VLOOKUP(F871,Countries!$A$2:$B$11,2,0)</f>
        <v>Iraq</v>
      </c>
      <c r="H871" s="13" t="n">
        <v>6</v>
      </c>
      <c r="I871" s="13" t="n">
        <v>46800</v>
      </c>
      <c r="J871" s="0" t="s">
        <v>16</v>
      </c>
      <c r="K871" s="0" t="s">
        <v>958</v>
      </c>
    </row>
    <row r="872" customFormat="false" ht="12.8" hidden="false" customHeight="false" outlineLevel="0" collapsed="false">
      <c r="A872" s="57" t="n">
        <v>46267</v>
      </c>
      <c r="B872" s="0" t="s">
        <v>965</v>
      </c>
      <c r="C872" s="0" t="s">
        <v>17</v>
      </c>
      <c r="D872" s="0" t="s">
        <v>74</v>
      </c>
      <c r="E872" s="58" t="str">
        <f aca="false">VLOOKUP(D872,Models!$A$2:$B$13,2,0)</f>
        <v>40-inch Full HD TV</v>
      </c>
      <c r="F872" s="0" t="s">
        <v>72</v>
      </c>
      <c r="G872" s="58" t="str">
        <f aca="false">VLOOKUP(F872,Countries!$A$2:$B$11,2,0)</f>
        <v>Kenya</v>
      </c>
      <c r="H872" s="13" t="n">
        <v>49</v>
      </c>
      <c r="I872" s="13" t="n">
        <v>303800</v>
      </c>
      <c r="J872" s="0" t="s">
        <v>16</v>
      </c>
      <c r="K872" s="0" t="s">
        <v>958</v>
      </c>
    </row>
    <row r="873" customFormat="false" ht="12.8" hidden="false" customHeight="false" outlineLevel="0" collapsed="false">
      <c r="A873" s="57" t="n">
        <v>46267</v>
      </c>
      <c r="B873" s="0" t="s">
        <v>966</v>
      </c>
      <c r="C873" s="0" t="s">
        <v>19</v>
      </c>
      <c r="D873" s="0" t="s">
        <v>77</v>
      </c>
      <c r="E873" s="58" t="str">
        <f aca="false">VLOOKUP(D873,Models!$A$2:$B$13,2,0)</f>
        <v>65-inch QLED TV</v>
      </c>
      <c r="F873" s="0" t="s">
        <v>98</v>
      </c>
      <c r="G873" s="58" t="str">
        <f aca="false">VLOOKUP(F873,Countries!$A$2:$B$11,2,0)</f>
        <v>Libya</v>
      </c>
      <c r="H873" s="13" t="n">
        <v>18</v>
      </c>
      <c r="I873" s="13" t="n">
        <v>441000</v>
      </c>
      <c r="J873" s="0" t="s">
        <v>16</v>
      </c>
      <c r="K873" s="0" t="s">
        <v>958</v>
      </c>
    </row>
    <row r="874" customFormat="false" ht="12.8" hidden="false" customHeight="false" outlineLevel="0" collapsed="false">
      <c r="A874" s="57" t="n">
        <v>46267</v>
      </c>
      <c r="B874" s="0" t="s">
        <v>967</v>
      </c>
      <c r="C874" s="0" t="s">
        <v>20</v>
      </c>
      <c r="D874" s="0" t="s">
        <v>74</v>
      </c>
      <c r="E874" s="58" t="str">
        <f aca="false">VLOOKUP(D874,Models!$A$2:$B$13,2,0)</f>
        <v>40-inch Full HD TV</v>
      </c>
      <c r="F874" s="0" t="s">
        <v>72</v>
      </c>
      <c r="G874" s="58" t="str">
        <f aca="false">VLOOKUP(F874,Countries!$A$2:$B$11,2,0)</f>
        <v>Kenya</v>
      </c>
      <c r="H874" s="13" t="n">
        <v>31</v>
      </c>
      <c r="I874" s="13" t="n">
        <v>192200</v>
      </c>
      <c r="J874" s="0" t="s">
        <v>16</v>
      </c>
      <c r="K874" s="0" t="s">
        <v>958</v>
      </c>
    </row>
    <row r="875" customFormat="false" ht="12.8" hidden="false" customHeight="false" outlineLevel="0" collapsed="false">
      <c r="A875" s="57" t="n">
        <v>46267</v>
      </c>
      <c r="B875" s="0" t="s">
        <v>968</v>
      </c>
      <c r="C875" s="0" t="s">
        <v>21</v>
      </c>
      <c r="D875" s="0" t="s">
        <v>109</v>
      </c>
      <c r="E875" s="58" t="str">
        <f aca="false">VLOOKUP(D875,Models!$A$2:$B$13,2,0)</f>
        <v>55-inch QLED TV</v>
      </c>
      <c r="F875" s="0" t="s">
        <v>103</v>
      </c>
      <c r="G875" s="58" t="str">
        <f aca="false">VLOOKUP(F875,Countries!$A$2:$B$11,2,0)</f>
        <v>Morocco</v>
      </c>
      <c r="H875" s="13" t="n">
        <v>32</v>
      </c>
      <c r="I875" s="13" t="n">
        <v>499200</v>
      </c>
      <c r="J875" s="0" t="s">
        <v>16</v>
      </c>
      <c r="K875" s="0" t="s">
        <v>958</v>
      </c>
    </row>
    <row r="876" customFormat="false" ht="12.8" hidden="false" customHeight="false" outlineLevel="0" collapsed="false">
      <c r="A876" s="57" t="n">
        <v>46268</v>
      </c>
      <c r="B876" s="0" t="s">
        <v>969</v>
      </c>
      <c r="C876" s="0" t="s">
        <v>13</v>
      </c>
      <c r="D876" s="0" t="s">
        <v>109</v>
      </c>
      <c r="E876" s="58" t="str">
        <f aca="false">VLOOKUP(D876,Models!$A$2:$B$13,2,0)</f>
        <v>55-inch QLED TV</v>
      </c>
      <c r="F876" s="0" t="s">
        <v>79</v>
      </c>
      <c r="G876" s="58" t="str">
        <f aca="false">VLOOKUP(F876,Countries!$A$2:$B$11,2,0)</f>
        <v>Iraq</v>
      </c>
      <c r="H876" s="13" t="n">
        <v>29</v>
      </c>
      <c r="I876" s="13" t="n">
        <v>452400</v>
      </c>
      <c r="J876" s="0" t="s">
        <v>16</v>
      </c>
      <c r="K876" s="0" t="s">
        <v>958</v>
      </c>
    </row>
    <row r="877" customFormat="false" ht="12.8" hidden="false" customHeight="false" outlineLevel="0" collapsed="false">
      <c r="A877" s="57" t="n">
        <v>46268</v>
      </c>
      <c r="B877" s="0" t="s">
        <v>970</v>
      </c>
      <c r="C877" s="0" t="s">
        <v>15</v>
      </c>
      <c r="D877" s="0" t="s">
        <v>88</v>
      </c>
      <c r="E877" s="58" t="str">
        <f aca="false">VLOOKUP(D877,Models!$A$2:$B$13,2,0)</f>
        <v>24-inch HD TV</v>
      </c>
      <c r="F877" s="0" t="s">
        <v>69</v>
      </c>
      <c r="G877" s="58" t="str">
        <f aca="false">VLOOKUP(F877,Countries!$A$2:$B$11,2,0)</f>
        <v>Egypt</v>
      </c>
      <c r="H877" s="13" t="n">
        <v>19</v>
      </c>
      <c r="I877" s="13" t="n">
        <v>55100</v>
      </c>
      <c r="J877" s="0" t="s">
        <v>16</v>
      </c>
      <c r="K877" s="0" t="s">
        <v>958</v>
      </c>
    </row>
    <row r="878" customFormat="false" ht="12.8" hidden="false" customHeight="false" outlineLevel="0" collapsed="false">
      <c r="A878" s="57" t="n">
        <v>46268</v>
      </c>
      <c r="B878" s="0" t="s">
        <v>971</v>
      </c>
      <c r="C878" s="0" t="s">
        <v>15</v>
      </c>
      <c r="D878" s="0" t="s">
        <v>109</v>
      </c>
      <c r="E878" s="58" t="str">
        <f aca="false">VLOOKUP(D878,Models!$A$2:$B$13,2,0)</f>
        <v>55-inch QLED TV</v>
      </c>
      <c r="F878" s="0" t="s">
        <v>83</v>
      </c>
      <c r="G878" s="58" t="str">
        <f aca="false">VLOOKUP(F878,Countries!$A$2:$B$11,2,0)</f>
        <v>United Arab Emirates</v>
      </c>
      <c r="H878" s="13" t="n">
        <v>11</v>
      </c>
      <c r="I878" s="13" t="n">
        <v>171600</v>
      </c>
      <c r="J878" s="0" t="s">
        <v>16</v>
      </c>
      <c r="K878" s="0" t="s">
        <v>958</v>
      </c>
    </row>
    <row r="879" customFormat="false" ht="12.8" hidden="false" customHeight="false" outlineLevel="0" collapsed="false">
      <c r="A879" s="57" t="n">
        <v>46268</v>
      </c>
      <c r="B879" s="0" t="s">
        <v>972</v>
      </c>
      <c r="C879" s="0" t="s">
        <v>15</v>
      </c>
      <c r="D879" s="0" t="s">
        <v>71</v>
      </c>
      <c r="E879" s="58" t="str">
        <f aca="false">VLOOKUP(D879,Models!$A$2:$B$13,2,0)</f>
        <v>43-inch Full HD TV</v>
      </c>
      <c r="F879" s="0" t="s">
        <v>69</v>
      </c>
      <c r="G879" s="58" t="str">
        <f aca="false">VLOOKUP(F879,Countries!$A$2:$B$11,2,0)</f>
        <v>Egypt</v>
      </c>
      <c r="H879" s="13" t="n">
        <v>44</v>
      </c>
      <c r="I879" s="13" t="n">
        <v>303600</v>
      </c>
      <c r="J879" s="0" t="s">
        <v>16</v>
      </c>
      <c r="K879" s="0" t="s">
        <v>958</v>
      </c>
    </row>
    <row r="880" customFormat="false" ht="12.8" hidden="false" customHeight="false" outlineLevel="0" collapsed="false">
      <c r="A880" s="57" t="n">
        <v>46268</v>
      </c>
      <c r="B880" s="0" t="s">
        <v>973</v>
      </c>
      <c r="C880" s="0" t="s">
        <v>17</v>
      </c>
      <c r="D880" s="0" t="s">
        <v>92</v>
      </c>
      <c r="E880" s="58" t="str">
        <f aca="false">VLOOKUP(D880,Models!$A$2:$B$13,2,0)</f>
        <v>65-inch 4K TV</v>
      </c>
      <c r="F880" s="0" t="s">
        <v>72</v>
      </c>
      <c r="G880" s="58" t="str">
        <f aca="false">VLOOKUP(F880,Countries!$A$2:$B$11,2,0)</f>
        <v>Kenya</v>
      </c>
      <c r="H880" s="13" t="n">
        <v>17</v>
      </c>
      <c r="I880" s="13" t="n">
        <v>336600</v>
      </c>
      <c r="J880" s="0" t="s">
        <v>16</v>
      </c>
      <c r="K880" s="0" t="s">
        <v>958</v>
      </c>
    </row>
    <row r="881" customFormat="false" ht="12.8" hidden="false" customHeight="false" outlineLevel="0" collapsed="false">
      <c r="A881" s="57" t="n">
        <v>46268</v>
      </c>
      <c r="B881" s="0" t="s">
        <v>974</v>
      </c>
      <c r="C881" s="0" t="s">
        <v>19</v>
      </c>
      <c r="D881" s="0" t="s">
        <v>85</v>
      </c>
      <c r="E881" s="58" t="str">
        <f aca="false">VLOOKUP(D881,Models!$A$2:$B$13,2,0)</f>
        <v>75-inch 4K TV</v>
      </c>
      <c r="F881" s="0" t="s">
        <v>69</v>
      </c>
      <c r="G881" s="58" t="str">
        <f aca="false">VLOOKUP(F881,Countries!$A$2:$B$11,2,0)</f>
        <v>Egypt</v>
      </c>
      <c r="H881" s="13" t="n">
        <v>10</v>
      </c>
      <c r="I881" s="13" t="n">
        <v>312000</v>
      </c>
      <c r="J881" s="0" t="s">
        <v>16</v>
      </c>
      <c r="K881" s="0" t="s">
        <v>958</v>
      </c>
    </row>
    <row r="882" customFormat="false" ht="12.8" hidden="false" customHeight="false" outlineLevel="0" collapsed="false">
      <c r="A882" s="57" t="n">
        <v>46268</v>
      </c>
      <c r="B882" s="0" t="s">
        <v>975</v>
      </c>
      <c r="C882" s="0" t="s">
        <v>19</v>
      </c>
      <c r="D882" s="0" t="s">
        <v>109</v>
      </c>
      <c r="E882" s="58" t="str">
        <f aca="false">VLOOKUP(D882,Models!$A$2:$B$13,2,0)</f>
        <v>55-inch QLED TV</v>
      </c>
      <c r="F882" s="0" t="s">
        <v>75</v>
      </c>
      <c r="G882" s="58" t="str">
        <f aca="false">VLOOKUP(F882,Countries!$A$2:$B$11,2,0)</f>
        <v>Nigeria</v>
      </c>
      <c r="H882" s="13" t="n">
        <v>24</v>
      </c>
      <c r="I882" s="13" t="n">
        <v>374400</v>
      </c>
      <c r="J882" s="0" t="s">
        <v>16</v>
      </c>
      <c r="K882" s="0" t="s">
        <v>958</v>
      </c>
    </row>
    <row r="883" customFormat="false" ht="12.8" hidden="false" customHeight="false" outlineLevel="0" collapsed="false">
      <c r="A883" s="57" t="n">
        <v>46268</v>
      </c>
      <c r="B883" s="0" t="s">
        <v>976</v>
      </c>
      <c r="C883" s="0" t="s">
        <v>19</v>
      </c>
      <c r="D883" s="0" t="s">
        <v>95</v>
      </c>
      <c r="E883" s="58" t="str">
        <f aca="false">VLOOKUP(D883,Models!$A$2:$B$13,2,0)</f>
        <v>32-inch HD TV</v>
      </c>
      <c r="F883" s="0" t="s">
        <v>69</v>
      </c>
      <c r="G883" s="58" t="str">
        <f aca="false">VLOOKUP(F883,Countries!$A$2:$B$11,2,0)</f>
        <v>Egypt</v>
      </c>
      <c r="H883" s="13" t="n">
        <v>51</v>
      </c>
      <c r="I883" s="13" t="n">
        <v>198900</v>
      </c>
      <c r="J883" s="0" t="s">
        <v>16</v>
      </c>
      <c r="K883" s="0" t="s">
        <v>958</v>
      </c>
    </row>
    <row r="884" customFormat="false" ht="12.8" hidden="false" customHeight="false" outlineLevel="0" collapsed="false">
      <c r="A884" s="57" t="n">
        <v>46268</v>
      </c>
      <c r="B884" s="0" t="s">
        <v>977</v>
      </c>
      <c r="C884" s="0" t="s">
        <v>19</v>
      </c>
      <c r="D884" s="0" t="s">
        <v>85</v>
      </c>
      <c r="E884" s="58" t="str">
        <f aca="false">VLOOKUP(D884,Models!$A$2:$B$13,2,0)</f>
        <v>75-inch 4K TV</v>
      </c>
      <c r="F884" s="0" t="s">
        <v>69</v>
      </c>
      <c r="G884" s="58" t="str">
        <f aca="false">VLOOKUP(F884,Countries!$A$2:$B$11,2,0)</f>
        <v>Egypt</v>
      </c>
      <c r="H884" s="13" t="n">
        <v>10</v>
      </c>
      <c r="I884" s="13" t="n">
        <v>312000</v>
      </c>
      <c r="J884" s="0" t="s">
        <v>16</v>
      </c>
      <c r="K884" s="0" t="s">
        <v>958</v>
      </c>
    </row>
    <row r="885" customFormat="false" ht="12.8" hidden="false" customHeight="false" outlineLevel="0" collapsed="false">
      <c r="A885" s="57" t="n">
        <v>46268</v>
      </c>
      <c r="B885" s="0" t="s">
        <v>978</v>
      </c>
      <c r="C885" s="0" t="s">
        <v>20</v>
      </c>
      <c r="D885" s="0" t="s">
        <v>64</v>
      </c>
      <c r="E885" s="58" t="str">
        <f aca="false">VLOOKUP(D885,Models!$A$2:$B$13,2,0)</f>
        <v>32-inch Smart TV</v>
      </c>
      <c r="F885" s="0" t="s">
        <v>65</v>
      </c>
      <c r="G885" s="58" t="str">
        <f aca="false">VLOOKUP(F885,Countries!$A$2:$B$11,2,0)</f>
        <v>Jordan</v>
      </c>
      <c r="H885" s="13" t="n">
        <v>41</v>
      </c>
      <c r="I885" s="13" t="n">
        <v>188600</v>
      </c>
      <c r="J885" s="0" t="s">
        <v>16</v>
      </c>
      <c r="K885" s="0" t="s">
        <v>958</v>
      </c>
    </row>
    <row r="886" customFormat="false" ht="12.8" hidden="false" customHeight="false" outlineLevel="0" collapsed="false">
      <c r="A886" s="57" t="n">
        <v>46268</v>
      </c>
      <c r="B886" s="0" t="s">
        <v>979</v>
      </c>
      <c r="C886" s="0" t="s">
        <v>20</v>
      </c>
      <c r="D886" s="0" t="s">
        <v>95</v>
      </c>
      <c r="E886" s="58" t="str">
        <f aca="false">VLOOKUP(D886,Models!$A$2:$B$13,2,0)</f>
        <v>32-inch HD TV</v>
      </c>
      <c r="F886" s="0" t="s">
        <v>177</v>
      </c>
      <c r="G886" s="58" t="str">
        <f aca="false">VLOOKUP(F886,Countries!$A$2:$B$11,2,0)</f>
        <v>Saudi Arabia</v>
      </c>
      <c r="H886" s="13" t="n">
        <v>62</v>
      </c>
      <c r="I886" s="13" t="n">
        <v>241800</v>
      </c>
      <c r="J886" s="0" t="s">
        <v>16</v>
      </c>
      <c r="K886" s="0" t="s">
        <v>958</v>
      </c>
    </row>
    <row r="887" customFormat="false" ht="12.8" hidden="false" customHeight="false" outlineLevel="0" collapsed="false">
      <c r="A887" s="57" t="n">
        <v>46268</v>
      </c>
      <c r="B887" s="0" t="s">
        <v>980</v>
      </c>
      <c r="C887" s="0" t="s">
        <v>20</v>
      </c>
      <c r="D887" s="0" t="s">
        <v>64</v>
      </c>
      <c r="E887" s="58" t="str">
        <f aca="false">VLOOKUP(D887,Models!$A$2:$B$13,2,0)</f>
        <v>32-inch Smart TV</v>
      </c>
      <c r="F887" s="0" t="s">
        <v>69</v>
      </c>
      <c r="G887" s="58" t="str">
        <f aca="false">VLOOKUP(F887,Countries!$A$2:$B$11,2,0)</f>
        <v>Egypt</v>
      </c>
      <c r="H887" s="13" t="n">
        <v>62</v>
      </c>
      <c r="I887" s="13" t="n">
        <v>285200</v>
      </c>
      <c r="J887" s="0" t="s">
        <v>16</v>
      </c>
      <c r="K887" s="0" t="s">
        <v>958</v>
      </c>
    </row>
    <row r="888" customFormat="false" ht="12.8" hidden="false" customHeight="false" outlineLevel="0" collapsed="false">
      <c r="A888" s="57" t="n">
        <v>46268</v>
      </c>
      <c r="B888" s="0" t="s">
        <v>981</v>
      </c>
      <c r="C888" s="0" t="s">
        <v>21</v>
      </c>
      <c r="D888" s="0" t="s">
        <v>68</v>
      </c>
      <c r="E888" s="58" t="str">
        <f aca="false">VLOOKUP(D888,Models!$A$2:$B$13,2,0)</f>
        <v>50-inch 4K TV</v>
      </c>
      <c r="F888" s="0" t="s">
        <v>75</v>
      </c>
      <c r="G888" s="58" t="str">
        <f aca="false">VLOOKUP(F888,Countries!$A$2:$B$11,2,0)</f>
        <v>Nigeria</v>
      </c>
      <c r="H888" s="13" t="n">
        <v>20</v>
      </c>
      <c r="I888" s="13" t="n">
        <v>208000</v>
      </c>
      <c r="J888" s="0" t="s">
        <v>16</v>
      </c>
      <c r="K888" s="0" t="s">
        <v>958</v>
      </c>
    </row>
    <row r="889" customFormat="false" ht="12.8" hidden="false" customHeight="false" outlineLevel="0" collapsed="false">
      <c r="A889" s="57" t="n">
        <v>46268</v>
      </c>
      <c r="B889" s="0" t="s">
        <v>982</v>
      </c>
      <c r="C889" s="0" t="s">
        <v>21</v>
      </c>
      <c r="D889" s="0" t="s">
        <v>109</v>
      </c>
      <c r="E889" s="58" t="str">
        <f aca="false">VLOOKUP(D889,Models!$A$2:$B$13,2,0)</f>
        <v>55-inch QLED TV</v>
      </c>
      <c r="F889" s="0" t="s">
        <v>69</v>
      </c>
      <c r="G889" s="58" t="str">
        <f aca="false">VLOOKUP(F889,Countries!$A$2:$B$11,2,0)</f>
        <v>Egypt</v>
      </c>
      <c r="H889" s="13" t="n">
        <v>18</v>
      </c>
      <c r="I889" s="13" t="n">
        <v>280800</v>
      </c>
      <c r="J889" s="0" t="s">
        <v>16</v>
      </c>
      <c r="K889" s="0" t="s">
        <v>958</v>
      </c>
    </row>
    <row r="890" customFormat="false" ht="12.8" hidden="false" customHeight="false" outlineLevel="0" collapsed="false">
      <c r="A890" s="57" t="n">
        <v>46268</v>
      </c>
      <c r="B890" s="0" t="s">
        <v>983</v>
      </c>
      <c r="C890" s="0" t="s">
        <v>21</v>
      </c>
      <c r="D890" s="0" t="s">
        <v>92</v>
      </c>
      <c r="E890" s="58" t="str">
        <f aca="false">VLOOKUP(D890,Models!$A$2:$B$13,2,0)</f>
        <v>65-inch 4K TV</v>
      </c>
      <c r="F890" s="0" t="s">
        <v>83</v>
      </c>
      <c r="G890" s="58" t="str">
        <f aca="false">VLOOKUP(F890,Countries!$A$2:$B$11,2,0)</f>
        <v>United Arab Emirates</v>
      </c>
      <c r="H890" s="13" t="n">
        <v>5</v>
      </c>
      <c r="I890" s="13" t="n">
        <v>99000</v>
      </c>
      <c r="J890" s="0" t="s">
        <v>16</v>
      </c>
      <c r="K890" s="0" t="s">
        <v>958</v>
      </c>
    </row>
    <row r="891" customFormat="false" ht="12.8" hidden="false" customHeight="false" outlineLevel="0" collapsed="false">
      <c r="A891" s="57" t="n">
        <v>46270</v>
      </c>
      <c r="B891" s="0" t="s">
        <v>984</v>
      </c>
      <c r="C891" s="0" t="s">
        <v>13</v>
      </c>
      <c r="D891" s="0" t="s">
        <v>85</v>
      </c>
      <c r="E891" s="58" t="str">
        <f aca="false">VLOOKUP(D891,Models!$A$2:$B$13,2,0)</f>
        <v>75-inch 4K TV</v>
      </c>
      <c r="F891" s="0" t="s">
        <v>69</v>
      </c>
      <c r="G891" s="58" t="str">
        <f aca="false">VLOOKUP(F891,Countries!$A$2:$B$11,2,0)</f>
        <v>Egypt</v>
      </c>
      <c r="H891" s="13" t="n">
        <v>6</v>
      </c>
      <c r="I891" s="13" t="n">
        <v>187200</v>
      </c>
      <c r="J891" s="0" t="s">
        <v>16</v>
      </c>
      <c r="K891" s="0" t="s">
        <v>958</v>
      </c>
    </row>
    <row r="892" customFormat="false" ht="12.8" hidden="false" customHeight="false" outlineLevel="0" collapsed="false">
      <c r="A892" s="57" t="n">
        <v>46270</v>
      </c>
      <c r="B892" s="0" t="s">
        <v>985</v>
      </c>
      <c r="C892" s="0" t="s">
        <v>13</v>
      </c>
      <c r="D892" s="0" t="s">
        <v>88</v>
      </c>
      <c r="E892" s="58" t="str">
        <f aca="false">VLOOKUP(D892,Models!$A$2:$B$13,2,0)</f>
        <v>24-inch HD TV</v>
      </c>
      <c r="F892" s="0" t="s">
        <v>79</v>
      </c>
      <c r="G892" s="58" t="str">
        <f aca="false">VLOOKUP(F892,Countries!$A$2:$B$11,2,0)</f>
        <v>Iraq</v>
      </c>
      <c r="H892" s="13" t="n">
        <v>30</v>
      </c>
      <c r="I892" s="13" t="n">
        <v>87000</v>
      </c>
      <c r="J892" s="0" t="s">
        <v>16</v>
      </c>
      <c r="K892" s="0" t="s">
        <v>958</v>
      </c>
    </row>
    <row r="893" customFormat="false" ht="12.8" hidden="false" customHeight="false" outlineLevel="0" collapsed="false">
      <c r="A893" s="57" t="n">
        <v>46270</v>
      </c>
      <c r="B893" s="0" t="s">
        <v>986</v>
      </c>
      <c r="C893" s="0" t="s">
        <v>15</v>
      </c>
      <c r="D893" s="0" t="s">
        <v>64</v>
      </c>
      <c r="E893" s="58" t="str">
        <f aca="false">VLOOKUP(D893,Models!$A$2:$B$13,2,0)</f>
        <v>32-inch Smart TV</v>
      </c>
      <c r="F893" s="0" t="s">
        <v>101</v>
      </c>
      <c r="G893" s="58" t="str">
        <f aca="false">VLOOKUP(F893,Countries!$A$2:$B$11,2,0)</f>
        <v>Kuwait</v>
      </c>
      <c r="H893" s="13" t="n">
        <v>60</v>
      </c>
      <c r="I893" s="13" t="n">
        <v>276000</v>
      </c>
      <c r="J893" s="0" t="s">
        <v>16</v>
      </c>
      <c r="K893" s="0" t="s">
        <v>958</v>
      </c>
    </row>
    <row r="894" customFormat="false" ht="12.8" hidden="false" customHeight="false" outlineLevel="0" collapsed="false">
      <c r="A894" s="57" t="n">
        <v>46270</v>
      </c>
      <c r="B894" s="0" t="s">
        <v>987</v>
      </c>
      <c r="C894" s="0" t="s">
        <v>15</v>
      </c>
      <c r="D894" s="0" t="s">
        <v>90</v>
      </c>
      <c r="E894" s="58" t="str">
        <f aca="false">VLOOKUP(D894,Models!$A$2:$B$13,2,0)</f>
        <v>55-inch 4K TV</v>
      </c>
      <c r="F894" s="0" t="s">
        <v>69</v>
      </c>
      <c r="G894" s="58" t="str">
        <f aca="false">VLOOKUP(F894,Countries!$A$2:$B$11,2,0)</f>
        <v>Egypt</v>
      </c>
      <c r="H894" s="13" t="n">
        <v>11</v>
      </c>
      <c r="I894" s="13" t="n">
        <v>135300</v>
      </c>
      <c r="J894" s="0" t="s">
        <v>16</v>
      </c>
      <c r="K894" s="0" t="s">
        <v>958</v>
      </c>
    </row>
    <row r="895" customFormat="false" ht="12.8" hidden="false" customHeight="false" outlineLevel="0" collapsed="false">
      <c r="A895" s="57" t="n">
        <v>46270</v>
      </c>
      <c r="B895" s="0" t="s">
        <v>988</v>
      </c>
      <c r="C895" s="0" t="s">
        <v>17</v>
      </c>
      <c r="D895" s="0" t="s">
        <v>92</v>
      </c>
      <c r="E895" s="58" t="str">
        <f aca="false">VLOOKUP(D895,Models!$A$2:$B$13,2,0)</f>
        <v>65-inch 4K TV</v>
      </c>
      <c r="F895" s="0" t="s">
        <v>177</v>
      </c>
      <c r="G895" s="58" t="str">
        <f aca="false">VLOOKUP(F895,Countries!$A$2:$B$11,2,0)</f>
        <v>Saudi Arabia</v>
      </c>
      <c r="H895" s="13" t="n">
        <v>21</v>
      </c>
      <c r="I895" s="13" t="n">
        <v>415800</v>
      </c>
      <c r="J895" s="0" t="s">
        <v>16</v>
      </c>
      <c r="K895" s="0" t="s">
        <v>958</v>
      </c>
    </row>
    <row r="896" customFormat="false" ht="12.8" hidden="false" customHeight="false" outlineLevel="0" collapsed="false">
      <c r="A896" s="57" t="n">
        <v>46270</v>
      </c>
      <c r="B896" s="0" t="s">
        <v>989</v>
      </c>
      <c r="C896" s="0" t="s">
        <v>19</v>
      </c>
      <c r="D896" s="0" t="s">
        <v>92</v>
      </c>
      <c r="E896" s="58" t="str">
        <f aca="false">VLOOKUP(D896,Models!$A$2:$B$13,2,0)</f>
        <v>65-inch 4K TV</v>
      </c>
      <c r="F896" s="0" t="s">
        <v>69</v>
      </c>
      <c r="G896" s="58" t="str">
        <f aca="false">VLOOKUP(F896,Countries!$A$2:$B$11,2,0)</f>
        <v>Egypt</v>
      </c>
      <c r="H896" s="13" t="n">
        <v>19</v>
      </c>
      <c r="I896" s="13" t="n">
        <v>376200</v>
      </c>
      <c r="J896" s="0" t="s">
        <v>16</v>
      </c>
      <c r="K896" s="0" t="s">
        <v>958</v>
      </c>
    </row>
    <row r="897" customFormat="false" ht="12.8" hidden="false" customHeight="false" outlineLevel="0" collapsed="false">
      <c r="A897" s="57" t="n">
        <v>46270</v>
      </c>
      <c r="B897" s="0" t="s">
        <v>990</v>
      </c>
      <c r="C897" s="0" t="s">
        <v>19</v>
      </c>
      <c r="D897" s="0" t="s">
        <v>74</v>
      </c>
      <c r="E897" s="58" t="str">
        <f aca="false">VLOOKUP(D897,Models!$A$2:$B$13,2,0)</f>
        <v>40-inch Full HD TV</v>
      </c>
      <c r="F897" s="0" t="s">
        <v>101</v>
      </c>
      <c r="G897" s="58" t="str">
        <f aca="false">VLOOKUP(F897,Countries!$A$2:$B$11,2,0)</f>
        <v>Kuwait</v>
      </c>
      <c r="H897" s="13" t="n">
        <v>43</v>
      </c>
      <c r="I897" s="13" t="n">
        <v>266600</v>
      </c>
      <c r="J897" s="0" t="s">
        <v>16</v>
      </c>
      <c r="K897" s="0" t="s">
        <v>958</v>
      </c>
    </row>
    <row r="898" customFormat="false" ht="12.8" hidden="false" customHeight="false" outlineLevel="0" collapsed="false">
      <c r="A898" s="57" t="n">
        <v>46270</v>
      </c>
      <c r="B898" s="0" t="s">
        <v>991</v>
      </c>
      <c r="C898" s="0" t="s">
        <v>19</v>
      </c>
      <c r="D898" s="0" t="s">
        <v>74</v>
      </c>
      <c r="E898" s="58" t="str">
        <f aca="false">VLOOKUP(D898,Models!$A$2:$B$13,2,0)</f>
        <v>40-inch Full HD TV</v>
      </c>
      <c r="F898" s="0" t="s">
        <v>69</v>
      </c>
      <c r="G898" s="58" t="str">
        <f aca="false">VLOOKUP(F898,Countries!$A$2:$B$11,2,0)</f>
        <v>Egypt</v>
      </c>
      <c r="H898" s="13" t="n">
        <v>46</v>
      </c>
      <c r="I898" s="13" t="n">
        <v>285200</v>
      </c>
      <c r="J898" s="0" t="s">
        <v>16</v>
      </c>
      <c r="K898" s="0" t="s">
        <v>958</v>
      </c>
    </row>
    <row r="899" customFormat="false" ht="12.8" hidden="false" customHeight="false" outlineLevel="0" collapsed="false">
      <c r="A899" s="57" t="n">
        <v>46270</v>
      </c>
      <c r="B899" s="0" t="s">
        <v>992</v>
      </c>
      <c r="C899" s="0" t="s">
        <v>20</v>
      </c>
      <c r="D899" s="0" t="s">
        <v>109</v>
      </c>
      <c r="E899" s="58" t="str">
        <f aca="false">VLOOKUP(D899,Models!$A$2:$B$13,2,0)</f>
        <v>55-inch QLED TV</v>
      </c>
      <c r="F899" s="0" t="s">
        <v>69</v>
      </c>
      <c r="G899" s="58" t="str">
        <f aca="false">VLOOKUP(F899,Countries!$A$2:$B$11,2,0)</f>
        <v>Egypt</v>
      </c>
      <c r="H899" s="13" t="n">
        <v>28</v>
      </c>
      <c r="I899" s="13" t="n">
        <v>436800</v>
      </c>
      <c r="J899" s="0" t="s">
        <v>16</v>
      </c>
      <c r="K899" s="0" t="s">
        <v>958</v>
      </c>
    </row>
    <row r="900" customFormat="false" ht="12.8" hidden="false" customHeight="false" outlineLevel="0" collapsed="false">
      <c r="A900" s="57" t="n">
        <v>46270</v>
      </c>
      <c r="B900" s="0" t="s">
        <v>993</v>
      </c>
      <c r="C900" s="0" t="s">
        <v>20</v>
      </c>
      <c r="D900" s="0" t="s">
        <v>88</v>
      </c>
      <c r="E900" s="58" t="str">
        <f aca="false">VLOOKUP(D900,Models!$A$2:$B$13,2,0)</f>
        <v>24-inch HD TV</v>
      </c>
      <c r="F900" s="0" t="s">
        <v>83</v>
      </c>
      <c r="G900" s="58" t="str">
        <f aca="false">VLOOKUP(F900,Countries!$A$2:$B$11,2,0)</f>
        <v>United Arab Emirates</v>
      </c>
      <c r="H900" s="13" t="n">
        <v>61</v>
      </c>
      <c r="I900" s="13" t="n">
        <v>176900</v>
      </c>
      <c r="J900" s="0" t="s">
        <v>16</v>
      </c>
      <c r="K900" s="0" t="s">
        <v>958</v>
      </c>
    </row>
    <row r="901" customFormat="false" ht="12.8" hidden="false" customHeight="false" outlineLevel="0" collapsed="false">
      <c r="A901" s="57" t="n">
        <v>46270</v>
      </c>
      <c r="B901" s="0" t="s">
        <v>994</v>
      </c>
      <c r="C901" s="0" t="s">
        <v>20</v>
      </c>
      <c r="D901" s="0" t="s">
        <v>90</v>
      </c>
      <c r="E901" s="58" t="str">
        <f aca="false">VLOOKUP(D901,Models!$A$2:$B$13,2,0)</f>
        <v>55-inch 4K TV</v>
      </c>
      <c r="F901" s="0" t="s">
        <v>83</v>
      </c>
      <c r="G901" s="58" t="str">
        <f aca="false">VLOOKUP(F901,Countries!$A$2:$B$11,2,0)</f>
        <v>United Arab Emirates</v>
      </c>
      <c r="H901" s="13" t="n">
        <v>21</v>
      </c>
      <c r="I901" s="13" t="n">
        <v>258300</v>
      </c>
      <c r="J901" s="0" t="s">
        <v>16</v>
      </c>
      <c r="K901" s="0" t="s">
        <v>958</v>
      </c>
    </row>
    <row r="902" customFormat="false" ht="12.8" hidden="false" customHeight="false" outlineLevel="0" collapsed="false">
      <c r="A902" s="57" t="n">
        <v>46270</v>
      </c>
      <c r="B902" s="0" t="s">
        <v>995</v>
      </c>
      <c r="C902" s="0" t="s">
        <v>20</v>
      </c>
      <c r="D902" s="0" t="s">
        <v>68</v>
      </c>
      <c r="E902" s="58" t="str">
        <f aca="false">VLOOKUP(D902,Models!$A$2:$B$13,2,0)</f>
        <v>50-inch 4K TV</v>
      </c>
      <c r="F902" s="0" t="s">
        <v>69</v>
      </c>
      <c r="G902" s="58" t="str">
        <f aca="false">VLOOKUP(F902,Countries!$A$2:$B$11,2,0)</f>
        <v>Egypt</v>
      </c>
      <c r="H902" s="13" t="n">
        <v>12</v>
      </c>
      <c r="I902" s="13" t="n">
        <v>124800</v>
      </c>
      <c r="J902" s="0" t="s">
        <v>16</v>
      </c>
      <c r="K902" s="0" t="s">
        <v>958</v>
      </c>
    </row>
    <row r="903" customFormat="false" ht="12.8" hidden="false" customHeight="false" outlineLevel="0" collapsed="false">
      <c r="A903" s="57" t="n">
        <v>46270</v>
      </c>
      <c r="B903" s="0" t="s">
        <v>996</v>
      </c>
      <c r="C903" s="0" t="s">
        <v>21</v>
      </c>
      <c r="D903" s="0" t="s">
        <v>81</v>
      </c>
      <c r="E903" s="58" t="str">
        <f aca="false">VLOOKUP(D903,Models!$A$2:$B$13,2,0)</f>
        <v>43-inch Smart TV</v>
      </c>
      <c r="F903" s="0" t="s">
        <v>98</v>
      </c>
      <c r="G903" s="58" t="str">
        <f aca="false">VLOOKUP(F903,Countries!$A$2:$B$11,2,0)</f>
        <v>Libya</v>
      </c>
      <c r="H903" s="13" t="n">
        <v>23</v>
      </c>
      <c r="I903" s="13" t="n">
        <v>179400</v>
      </c>
      <c r="J903" s="0" t="s">
        <v>16</v>
      </c>
      <c r="K903" s="0" t="s">
        <v>958</v>
      </c>
    </row>
    <row r="904" customFormat="false" ht="12.8" hidden="false" customHeight="false" outlineLevel="0" collapsed="false">
      <c r="A904" s="57" t="n">
        <v>46270</v>
      </c>
      <c r="B904" s="0" t="s">
        <v>997</v>
      </c>
      <c r="C904" s="0" t="s">
        <v>21</v>
      </c>
      <c r="D904" s="0" t="s">
        <v>109</v>
      </c>
      <c r="E904" s="58" t="str">
        <f aca="false">VLOOKUP(D904,Models!$A$2:$B$13,2,0)</f>
        <v>55-inch QLED TV</v>
      </c>
      <c r="F904" s="0" t="s">
        <v>103</v>
      </c>
      <c r="G904" s="58" t="str">
        <f aca="false">VLOOKUP(F904,Countries!$A$2:$B$11,2,0)</f>
        <v>Morocco</v>
      </c>
      <c r="H904" s="13" t="n">
        <v>28</v>
      </c>
      <c r="I904" s="13" t="n">
        <v>436800</v>
      </c>
      <c r="J904" s="0" t="s">
        <v>16</v>
      </c>
      <c r="K904" s="0" t="s">
        <v>958</v>
      </c>
    </row>
    <row r="905" customFormat="false" ht="12.8" hidden="false" customHeight="false" outlineLevel="0" collapsed="false">
      <c r="A905" s="57" t="n">
        <v>46270</v>
      </c>
      <c r="B905" s="0" t="s">
        <v>998</v>
      </c>
      <c r="C905" s="0" t="s">
        <v>21</v>
      </c>
      <c r="D905" s="0" t="s">
        <v>64</v>
      </c>
      <c r="E905" s="58" t="str">
        <f aca="false">VLOOKUP(D905,Models!$A$2:$B$13,2,0)</f>
        <v>32-inch Smart TV</v>
      </c>
      <c r="F905" s="0" t="s">
        <v>69</v>
      </c>
      <c r="G905" s="58" t="str">
        <f aca="false">VLOOKUP(F905,Countries!$A$2:$B$11,2,0)</f>
        <v>Egypt</v>
      </c>
      <c r="H905" s="13" t="n">
        <v>51</v>
      </c>
      <c r="I905" s="13" t="n">
        <v>234600</v>
      </c>
      <c r="J905" s="0" t="s">
        <v>16</v>
      </c>
      <c r="K905" s="0" t="s">
        <v>958</v>
      </c>
    </row>
    <row r="906" customFormat="false" ht="12.8" hidden="false" customHeight="false" outlineLevel="0" collapsed="false">
      <c r="A906" s="57" t="n">
        <v>46271</v>
      </c>
      <c r="B906" s="0" t="s">
        <v>999</v>
      </c>
      <c r="C906" s="0" t="s">
        <v>13</v>
      </c>
      <c r="D906" s="0" t="s">
        <v>88</v>
      </c>
      <c r="E906" s="58" t="str">
        <f aca="false">VLOOKUP(D906,Models!$A$2:$B$13,2,0)</f>
        <v>24-inch HD TV</v>
      </c>
      <c r="F906" s="0" t="s">
        <v>98</v>
      </c>
      <c r="G906" s="58" t="str">
        <f aca="false">VLOOKUP(F906,Countries!$A$2:$B$11,2,0)</f>
        <v>Libya</v>
      </c>
      <c r="H906" s="13" t="n">
        <v>31</v>
      </c>
      <c r="I906" s="13" t="n">
        <v>89900</v>
      </c>
      <c r="J906" s="0" t="s">
        <v>16</v>
      </c>
      <c r="K906" s="0" t="s">
        <v>958</v>
      </c>
    </row>
    <row r="907" customFormat="false" ht="12.8" hidden="false" customHeight="false" outlineLevel="0" collapsed="false">
      <c r="A907" s="57" t="n">
        <v>46271</v>
      </c>
      <c r="B907" s="0" t="s">
        <v>1000</v>
      </c>
      <c r="C907" s="0" t="s">
        <v>13</v>
      </c>
      <c r="D907" s="0" t="s">
        <v>88</v>
      </c>
      <c r="E907" s="58" t="str">
        <f aca="false">VLOOKUP(D907,Models!$A$2:$B$13,2,0)</f>
        <v>24-inch HD TV</v>
      </c>
      <c r="F907" s="0" t="s">
        <v>72</v>
      </c>
      <c r="G907" s="58" t="str">
        <f aca="false">VLOOKUP(F907,Countries!$A$2:$B$11,2,0)</f>
        <v>Kenya</v>
      </c>
      <c r="H907" s="13" t="n">
        <v>45</v>
      </c>
      <c r="I907" s="13" t="n">
        <v>130500</v>
      </c>
      <c r="J907" s="0" t="s">
        <v>16</v>
      </c>
      <c r="K907" s="0" t="s">
        <v>958</v>
      </c>
    </row>
    <row r="908" customFormat="false" ht="12.8" hidden="false" customHeight="false" outlineLevel="0" collapsed="false">
      <c r="A908" s="57" t="n">
        <v>46271</v>
      </c>
      <c r="B908" s="0" t="s">
        <v>1001</v>
      </c>
      <c r="C908" s="0" t="s">
        <v>13</v>
      </c>
      <c r="D908" s="0" t="s">
        <v>71</v>
      </c>
      <c r="E908" s="58" t="str">
        <f aca="false">VLOOKUP(D908,Models!$A$2:$B$13,2,0)</f>
        <v>43-inch Full HD TV</v>
      </c>
      <c r="F908" s="0" t="s">
        <v>69</v>
      </c>
      <c r="G908" s="58" t="str">
        <f aca="false">VLOOKUP(F908,Countries!$A$2:$B$11,2,0)</f>
        <v>Egypt</v>
      </c>
      <c r="H908" s="13" t="n">
        <v>34</v>
      </c>
      <c r="I908" s="13" t="n">
        <v>234600</v>
      </c>
      <c r="J908" s="0" t="s">
        <v>16</v>
      </c>
      <c r="K908" s="0" t="s">
        <v>958</v>
      </c>
    </row>
    <row r="909" customFormat="false" ht="12.8" hidden="false" customHeight="false" outlineLevel="0" collapsed="false">
      <c r="A909" s="57" t="n">
        <v>46271</v>
      </c>
      <c r="B909" s="0" t="s">
        <v>1002</v>
      </c>
      <c r="C909" s="0" t="s">
        <v>13</v>
      </c>
      <c r="D909" s="0" t="s">
        <v>109</v>
      </c>
      <c r="E909" s="58" t="str">
        <f aca="false">VLOOKUP(D909,Models!$A$2:$B$13,2,0)</f>
        <v>55-inch QLED TV</v>
      </c>
      <c r="F909" s="0" t="s">
        <v>98</v>
      </c>
      <c r="G909" s="58" t="str">
        <f aca="false">VLOOKUP(F909,Countries!$A$2:$B$11,2,0)</f>
        <v>Libya</v>
      </c>
      <c r="H909" s="13" t="n">
        <v>15</v>
      </c>
      <c r="I909" s="13" t="n">
        <v>234000</v>
      </c>
      <c r="J909" s="0" t="s">
        <v>16</v>
      </c>
      <c r="K909" s="0" t="s">
        <v>958</v>
      </c>
    </row>
    <row r="910" customFormat="false" ht="12.8" hidden="false" customHeight="false" outlineLevel="0" collapsed="false">
      <c r="A910" s="57" t="n">
        <v>46271</v>
      </c>
      <c r="B910" s="0" t="s">
        <v>1003</v>
      </c>
      <c r="C910" s="0" t="s">
        <v>13</v>
      </c>
      <c r="D910" s="0" t="s">
        <v>64</v>
      </c>
      <c r="E910" s="58" t="str">
        <f aca="false">VLOOKUP(D910,Models!$A$2:$B$13,2,0)</f>
        <v>32-inch Smart TV</v>
      </c>
      <c r="F910" s="0" t="s">
        <v>75</v>
      </c>
      <c r="G910" s="58" t="str">
        <f aca="false">VLOOKUP(F910,Countries!$A$2:$B$11,2,0)</f>
        <v>Nigeria</v>
      </c>
      <c r="H910" s="13" t="n">
        <v>63</v>
      </c>
      <c r="I910" s="13" t="n">
        <v>289800</v>
      </c>
      <c r="J910" s="0" t="s">
        <v>16</v>
      </c>
      <c r="K910" s="0" t="s">
        <v>958</v>
      </c>
    </row>
    <row r="911" customFormat="false" ht="12.8" hidden="false" customHeight="false" outlineLevel="0" collapsed="false">
      <c r="A911" s="57" t="n">
        <v>46271</v>
      </c>
      <c r="B911" s="0" t="s">
        <v>1004</v>
      </c>
      <c r="C911" s="0" t="s">
        <v>15</v>
      </c>
      <c r="D911" s="0" t="s">
        <v>85</v>
      </c>
      <c r="E911" s="58" t="str">
        <f aca="false">VLOOKUP(D911,Models!$A$2:$B$13,2,0)</f>
        <v>75-inch 4K TV</v>
      </c>
      <c r="F911" s="0" t="s">
        <v>69</v>
      </c>
      <c r="G911" s="58" t="str">
        <f aca="false">VLOOKUP(F911,Countries!$A$2:$B$11,2,0)</f>
        <v>Egypt</v>
      </c>
      <c r="H911" s="13" t="n">
        <v>16</v>
      </c>
      <c r="I911" s="13" t="n">
        <v>499200</v>
      </c>
      <c r="J911" s="0" t="s">
        <v>16</v>
      </c>
      <c r="K911" s="0" t="s">
        <v>958</v>
      </c>
    </row>
    <row r="912" customFormat="false" ht="12.8" hidden="false" customHeight="false" outlineLevel="0" collapsed="false">
      <c r="A912" s="57" t="n">
        <v>46271</v>
      </c>
      <c r="B912" s="0" t="s">
        <v>1005</v>
      </c>
      <c r="C912" s="0" t="s">
        <v>15</v>
      </c>
      <c r="D912" s="0" t="s">
        <v>71</v>
      </c>
      <c r="E912" s="58" t="str">
        <f aca="false">VLOOKUP(D912,Models!$A$2:$B$13,2,0)</f>
        <v>43-inch Full HD TV</v>
      </c>
      <c r="F912" s="0" t="s">
        <v>72</v>
      </c>
      <c r="G912" s="58" t="str">
        <f aca="false">VLOOKUP(F912,Countries!$A$2:$B$11,2,0)</f>
        <v>Kenya</v>
      </c>
      <c r="H912" s="13" t="n">
        <v>10</v>
      </c>
      <c r="I912" s="13" t="n">
        <v>69000</v>
      </c>
      <c r="J912" s="0" t="s">
        <v>16</v>
      </c>
      <c r="K912" s="0" t="s">
        <v>958</v>
      </c>
    </row>
    <row r="913" customFormat="false" ht="12.8" hidden="false" customHeight="false" outlineLevel="0" collapsed="false">
      <c r="A913" s="57" t="n">
        <v>46271</v>
      </c>
      <c r="B913" s="0" t="s">
        <v>1006</v>
      </c>
      <c r="C913" s="0" t="s">
        <v>17</v>
      </c>
      <c r="D913" s="0" t="s">
        <v>92</v>
      </c>
      <c r="E913" s="58" t="str">
        <f aca="false">VLOOKUP(D913,Models!$A$2:$B$13,2,0)</f>
        <v>65-inch 4K TV</v>
      </c>
      <c r="F913" s="0" t="s">
        <v>103</v>
      </c>
      <c r="G913" s="58" t="str">
        <f aca="false">VLOOKUP(F913,Countries!$A$2:$B$11,2,0)</f>
        <v>Morocco</v>
      </c>
      <c r="H913" s="13" t="n">
        <v>14</v>
      </c>
      <c r="I913" s="13" t="n">
        <v>277200</v>
      </c>
      <c r="J913" s="0" t="s">
        <v>16</v>
      </c>
      <c r="K913" s="0" t="s">
        <v>958</v>
      </c>
    </row>
    <row r="914" customFormat="false" ht="12.8" hidden="false" customHeight="false" outlineLevel="0" collapsed="false">
      <c r="A914" s="57" t="n">
        <v>46271</v>
      </c>
      <c r="B914" s="0" t="s">
        <v>1007</v>
      </c>
      <c r="C914" s="0" t="s">
        <v>17</v>
      </c>
      <c r="D914" s="0" t="s">
        <v>64</v>
      </c>
      <c r="E914" s="58" t="str">
        <f aca="false">VLOOKUP(D914,Models!$A$2:$B$13,2,0)</f>
        <v>32-inch Smart TV</v>
      </c>
      <c r="F914" s="0" t="s">
        <v>69</v>
      </c>
      <c r="G914" s="58" t="str">
        <f aca="false">VLOOKUP(F914,Countries!$A$2:$B$11,2,0)</f>
        <v>Egypt</v>
      </c>
      <c r="H914" s="13" t="n">
        <v>35</v>
      </c>
      <c r="I914" s="13" t="n">
        <v>161000</v>
      </c>
      <c r="J914" s="0" t="s">
        <v>16</v>
      </c>
      <c r="K914" s="0" t="s">
        <v>958</v>
      </c>
    </row>
    <row r="915" customFormat="false" ht="12.8" hidden="false" customHeight="false" outlineLevel="0" collapsed="false">
      <c r="A915" s="57" t="n">
        <v>46271</v>
      </c>
      <c r="B915" s="0" t="s">
        <v>1008</v>
      </c>
      <c r="C915" s="0" t="s">
        <v>17</v>
      </c>
      <c r="D915" s="0" t="s">
        <v>95</v>
      </c>
      <c r="E915" s="58" t="str">
        <f aca="false">VLOOKUP(D915,Models!$A$2:$B$13,2,0)</f>
        <v>32-inch HD TV</v>
      </c>
      <c r="F915" s="0" t="s">
        <v>69</v>
      </c>
      <c r="G915" s="58" t="str">
        <f aca="false">VLOOKUP(F915,Countries!$A$2:$B$11,2,0)</f>
        <v>Egypt</v>
      </c>
      <c r="H915" s="13" t="n">
        <v>51</v>
      </c>
      <c r="I915" s="13" t="n">
        <v>198900</v>
      </c>
      <c r="J915" s="0" t="s">
        <v>16</v>
      </c>
      <c r="K915" s="0" t="s">
        <v>958</v>
      </c>
    </row>
    <row r="916" customFormat="false" ht="12.8" hidden="false" customHeight="false" outlineLevel="0" collapsed="false">
      <c r="A916" s="57" t="n">
        <v>46271</v>
      </c>
      <c r="B916" s="0" t="s">
        <v>1009</v>
      </c>
      <c r="C916" s="0" t="s">
        <v>17</v>
      </c>
      <c r="D916" s="0" t="s">
        <v>88</v>
      </c>
      <c r="E916" s="58" t="str">
        <f aca="false">VLOOKUP(D916,Models!$A$2:$B$13,2,0)</f>
        <v>24-inch HD TV</v>
      </c>
      <c r="F916" s="0" t="s">
        <v>72</v>
      </c>
      <c r="G916" s="58" t="str">
        <f aca="false">VLOOKUP(F916,Countries!$A$2:$B$11,2,0)</f>
        <v>Kenya</v>
      </c>
      <c r="H916" s="13" t="n">
        <v>30</v>
      </c>
      <c r="I916" s="13" t="n">
        <v>87000</v>
      </c>
      <c r="J916" s="0" t="s">
        <v>16</v>
      </c>
      <c r="K916" s="0" t="s">
        <v>958</v>
      </c>
    </row>
    <row r="917" customFormat="false" ht="12.8" hidden="false" customHeight="false" outlineLevel="0" collapsed="false">
      <c r="A917" s="57" t="n">
        <v>46271</v>
      </c>
      <c r="B917" s="0" t="s">
        <v>1010</v>
      </c>
      <c r="C917" s="0" t="s">
        <v>19</v>
      </c>
      <c r="D917" s="0" t="s">
        <v>64</v>
      </c>
      <c r="E917" s="58" t="str">
        <f aca="false">VLOOKUP(D917,Models!$A$2:$B$13,2,0)</f>
        <v>32-inch Smart TV</v>
      </c>
      <c r="F917" s="0" t="s">
        <v>75</v>
      </c>
      <c r="G917" s="58" t="str">
        <f aca="false">VLOOKUP(F917,Countries!$A$2:$B$11,2,0)</f>
        <v>Nigeria</v>
      </c>
      <c r="H917" s="13" t="n">
        <v>45</v>
      </c>
      <c r="I917" s="13" t="n">
        <v>207000</v>
      </c>
      <c r="J917" s="0" t="s">
        <v>16</v>
      </c>
      <c r="K917" s="0" t="s">
        <v>958</v>
      </c>
    </row>
    <row r="918" customFormat="false" ht="12.8" hidden="false" customHeight="false" outlineLevel="0" collapsed="false">
      <c r="A918" s="57" t="n">
        <v>46271</v>
      </c>
      <c r="B918" s="0" t="s">
        <v>1011</v>
      </c>
      <c r="C918" s="0" t="s">
        <v>19</v>
      </c>
      <c r="D918" s="0" t="s">
        <v>109</v>
      </c>
      <c r="E918" s="58" t="str">
        <f aca="false">VLOOKUP(D918,Models!$A$2:$B$13,2,0)</f>
        <v>55-inch QLED TV</v>
      </c>
      <c r="F918" s="0" t="s">
        <v>79</v>
      </c>
      <c r="G918" s="58" t="str">
        <f aca="false">VLOOKUP(F918,Countries!$A$2:$B$11,2,0)</f>
        <v>Iraq</v>
      </c>
      <c r="H918" s="13" t="n">
        <v>27</v>
      </c>
      <c r="I918" s="13" t="n">
        <v>421200</v>
      </c>
      <c r="J918" s="0" t="s">
        <v>16</v>
      </c>
      <c r="K918" s="0" t="s">
        <v>958</v>
      </c>
    </row>
    <row r="919" customFormat="false" ht="12.8" hidden="false" customHeight="false" outlineLevel="0" collapsed="false">
      <c r="A919" s="57" t="n">
        <v>46271</v>
      </c>
      <c r="B919" s="0" t="s">
        <v>1012</v>
      </c>
      <c r="C919" s="0" t="s">
        <v>19</v>
      </c>
      <c r="D919" s="0" t="s">
        <v>88</v>
      </c>
      <c r="E919" s="58" t="str">
        <f aca="false">VLOOKUP(D919,Models!$A$2:$B$13,2,0)</f>
        <v>24-inch HD TV</v>
      </c>
      <c r="F919" s="0" t="s">
        <v>83</v>
      </c>
      <c r="G919" s="58" t="str">
        <f aca="false">VLOOKUP(F919,Countries!$A$2:$B$11,2,0)</f>
        <v>United Arab Emirates</v>
      </c>
      <c r="H919" s="13" t="n">
        <v>44</v>
      </c>
      <c r="I919" s="13" t="n">
        <v>127600</v>
      </c>
      <c r="J919" s="0" t="s">
        <v>16</v>
      </c>
      <c r="K919" s="0" t="s">
        <v>958</v>
      </c>
    </row>
    <row r="920" customFormat="false" ht="12.8" hidden="false" customHeight="false" outlineLevel="0" collapsed="false">
      <c r="A920" s="57" t="n">
        <v>46271</v>
      </c>
      <c r="B920" s="0" t="s">
        <v>1013</v>
      </c>
      <c r="C920" s="0" t="s">
        <v>20</v>
      </c>
      <c r="D920" s="0" t="s">
        <v>81</v>
      </c>
      <c r="E920" s="58" t="str">
        <f aca="false">VLOOKUP(D920,Models!$A$2:$B$13,2,0)</f>
        <v>43-inch Smart TV</v>
      </c>
      <c r="F920" s="0" t="s">
        <v>69</v>
      </c>
      <c r="G920" s="58" t="str">
        <f aca="false">VLOOKUP(F920,Countries!$A$2:$B$11,2,0)</f>
        <v>Egypt</v>
      </c>
      <c r="H920" s="13" t="n">
        <v>7</v>
      </c>
      <c r="I920" s="13" t="n">
        <v>54600</v>
      </c>
      <c r="J920" s="0" t="s">
        <v>16</v>
      </c>
      <c r="K920" s="0" t="s">
        <v>958</v>
      </c>
    </row>
    <row r="921" customFormat="false" ht="12.8" hidden="false" customHeight="false" outlineLevel="0" collapsed="false">
      <c r="A921" s="57" t="n">
        <v>46271</v>
      </c>
      <c r="B921" s="0" t="s">
        <v>1014</v>
      </c>
      <c r="C921" s="0" t="s">
        <v>20</v>
      </c>
      <c r="D921" s="0" t="s">
        <v>92</v>
      </c>
      <c r="E921" s="58" t="str">
        <f aca="false">VLOOKUP(D921,Models!$A$2:$B$13,2,0)</f>
        <v>65-inch 4K TV</v>
      </c>
      <c r="F921" s="0" t="s">
        <v>69</v>
      </c>
      <c r="G921" s="58" t="str">
        <f aca="false">VLOOKUP(F921,Countries!$A$2:$B$11,2,0)</f>
        <v>Egypt</v>
      </c>
      <c r="H921" s="13" t="n">
        <v>8</v>
      </c>
      <c r="I921" s="13" t="n">
        <v>158400</v>
      </c>
      <c r="J921" s="0" t="s">
        <v>16</v>
      </c>
      <c r="K921" s="0" t="s">
        <v>958</v>
      </c>
    </row>
    <row r="922" customFormat="false" ht="12.8" hidden="false" customHeight="false" outlineLevel="0" collapsed="false">
      <c r="A922" s="57" t="n">
        <v>46271</v>
      </c>
      <c r="B922" s="0" t="s">
        <v>1015</v>
      </c>
      <c r="C922" s="0" t="s">
        <v>20</v>
      </c>
      <c r="D922" s="0" t="s">
        <v>71</v>
      </c>
      <c r="E922" s="58" t="str">
        <f aca="false">VLOOKUP(D922,Models!$A$2:$B$13,2,0)</f>
        <v>43-inch Full HD TV</v>
      </c>
      <c r="F922" s="0" t="s">
        <v>103</v>
      </c>
      <c r="G922" s="58" t="str">
        <f aca="false">VLOOKUP(F922,Countries!$A$2:$B$11,2,0)</f>
        <v>Morocco</v>
      </c>
      <c r="H922" s="13" t="n">
        <v>40</v>
      </c>
      <c r="I922" s="13" t="n">
        <v>276000</v>
      </c>
      <c r="J922" s="0" t="s">
        <v>16</v>
      </c>
      <c r="K922" s="0" t="s">
        <v>958</v>
      </c>
    </row>
    <row r="923" customFormat="false" ht="12.8" hidden="false" customHeight="false" outlineLevel="0" collapsed="false">
      <c r="A923" s="57" t="n">
        <v>46271</v>
      </c>
      <c r="B923" s="0" t="s">
        <v>1016</v>
      </c>
      <c r="C923" s="0" t="s">
        <v>20</v>
      </c>
      <c r="D923" s="0" t="s">
        <v>77</v>
      </c>
      <c r="E923" s="58" t="str">
        <f aca="false">VLOOKUP(D923,Models!$A$2:$B$13,2,0)</f>
        <v>65-inch QLED TV</v>
      </c>
      <c r="F923" s="0" t="s">
        <v>177</v>
      </c>
      <c r="G923" s="58" t="str">
        <f aca="false">VLOOKUP(F923,Countries!$A$2:$B$11,2,0)</f>
        <v>Saudi Arabia</v>
      </c>
      <c r="H923" s="13" t="n">
        <v>5</v>
      </c>
      <c r="I923" s="13" t="n">
        <v>122500</v>
      </c>
      <c r="J923" s="0" t="s">
        <v>16</v>
      </c>
      <c r="K923" s="0" t="s">
        <v>958</v>
      </c>
    </row>
    <row r="924" customFormat="false" ht="12.8" hidden="false" customHeight="false" outlineLevel="0" collapsed="false">
      <c r="A924" s="57" t="n">
        <v>46271</v>
      </c>
      <c r="B924" s="0" t="s">
        <v>1017</v>
      </c>
      <c r="C924" s="0" t="s">
        <v>21</v>
      </c>
      <c r="D924" s="0" t="s">
        <v>64</v>
      </c>
      <c r="E924" s="58" t="str">
        <f aca="false">VLOOKUP(D924,Models!$A$2:$B$13,2,0)</f>
        <v>32-inch Smart TV</v>
      </c>
      <c r="F924" s="0" t="s">
        <v>65</v>
      </c>
      <c r="G924" s="58" t="str">
        <f aca="false">VLOOKUP(F924,Countries!$A$2:$B$11,2,0)</f>
        <v>Jordan</v>
      </c>
      <c r="H924" s="13" t="n">
        <v>51</v>
      </c>
      <c r="I924" s="13" t="n">
        <v>234600</v>
      </c>
      <c r="J924" s="0" t="s">
        <v>16</v>
      </c>
      <c r="K924" s="0" t="s">
        <v>958</v>
      </c>
    </row>
    <row r="925" customFormat="false" ht="12.8" hidden="false" customHeight="false" outlineLevel="0" collapsed="false">
      <c r="A925" s="57" t="n">
        <v>46271</v>
      </c>
      <c r="B925" s="0" t="s">
        <v>1018</v>
      </c>
      <c r="C925" s="0" t="s">
        <v>21</v>
      </c>
      <c r="D925" s="0" t="s">
        <v>77</v>
      </c>
      <c r="E925" s="58" t="str">
        <f aca="false">VLOOKUP(D925,Models!$A$2:$B$13,2,0)</f>
        <v>65-inch QLED TV</v>
      </c>
      <c r="F925" s="0" t="s">
        <v>69</v>
      </c>
      <c r="G925" s="58" t="str">
        <f aca="false">VLOOKUP(F925,Countries!$A$2:$B$11,2,0)</f>
        <v>Egypt</v>
      </c>
      <c r="H925" s="13" t="n">
        <v>16</v>
      </c>
      <c r="I925" s="13" t="n">
        <v>392000</v>
      </c>
      <c r="J925" s="0" t="s">
        <v>16</v>
      </c>
      <c r="K925" s="0" t="s">
        <v>958</v>
      </c>
    </row>
    <row r="926" customFormat="false" ht="12.8" hidden="false" customHeight="false" outlineLevel="0" collapsed="false">
      <c r="A926" s="57" t="n">
        <v>46272</v>
      </c>
      <c r="B926" s="0" t="s">
        <v>1019</v>
      </c>
      <c r="C926" s="0" t="s">
        <v>13</v>
      </c>
      <c r="D926" s="0" t="s">
        <v>74</v>
      </c>
      <c r="E926" s="58" t="str">
        <f aca="false">VLOOKUP(D926,Models!$A$2:$B$13,2,0)</f>
        <v>40-inch Full HD TV</v>
      </c>
      <c r="F926" s="0" t="s">
        <v>65</v>
      </c>
      <c r="G926" s="58" t="str">
        <f aca="false">VLOOKUP(F926,Countries!$A$2:$B$11,2,0)</f>
        <v>Jordan</v>
      </c>
      <c r="H926" s="13" t="n">
        <v>13</v>
      </c>
      <c r="I926" s="13" t="n">
        <v>80600</v>
      </c>
      <c r="J926" s="0" t="s">
        <v>16</v>
      </c>
      <c r="K926" s="0" t="s">
        <v>958</v>
      </c>
    </row>
    <row r="927" customFormat="false" ht="12.8" hidden="false" customHeight="false" outlineLevel="0" collapsed="false">
      <c r="A927" s="57" t="n">
        <v>46272</v>
      </c>
      <c r="B927" s="0" t="s">
        <v>1020</v>
      </c>
      <c r="C927" s="0" t="s">
        <v>15</v>
      </c>
      <c r="D927" s="0" t="s">
        <v>109</v>
      </c>
      <c r="E927" s="58" t="str">
        <f aca="false">VLOOKUP(D927,Models!$A$2:$B$13,2,0)</f>
        <v>55-inch QLED TV</v>
      </c>
      <c r="F927" s="0" t="s">
        <v>69</v>
      </c>
      <c r="G927" s="58" t="str">
        <f aca="false">VLOOKUP(F927,Countries!$A$2:$B$11,2,0)</f>
        <v>Egypt</v>
      </c>
      <c r="H927" s="13" t="n">
        <v>32</v>
      </c>
      <c r="I927" s="13" t="n">
        <v>499200</v>
      </c>
      <c r="J927" s="0" t="s">
        <v>16</v>
      </c>
      <c r="K927" s="0" t="s">
        <v>958</v>
      </c>
    </row>
    <row r="928" customFormat="false" ht="12.8" hidden="false" customHeight="false" outlineLevel="0" collapsed="false">
      <c r="A928" s="57" t="n">
        <v>46272</v>
      </c>
      <c r="B928" s="0" t="s">
        <v>1021</v>
      </c>
      <c r="C928" s="0" t="s">
        <v>15</v>
      </c>
      <c r="D928" s="0" t="s">
        <v>92</v>
      </c>
      <c r="E928" s="58" t="str">
        <f aca="false">VLOOKUP(D928,Models!$A$2:$B$13,2,0)</f>
        <v>65-inch 4K TV</v>
      </c>
      <c r="F928" s="0" t="s">
        <v>69</v>
      </c>
      <c r="G928" s="58" t="str">
        <f aca="false">VLOOKUP(F928,Countries!$A$2:$B$11,2,0)</f>
        <v>Egypt</v>
      </c>
      <c r="H928" s="13" t="n">
        <v>19</v>
      </c>
      <c r="I928" s="13" t="n">
        <v>376200</v>
      </c>
      <c r="J928" s="0" t="s">
        <v>16</v>
      </c>
      <c r="K928" s="0" t="s">
        <v>958</v>
      </c>
    </row>
    <row r="929" customFormat="false" ht="12.8" hidden="false" customHeight="false" outlineLevel="0" collapsed="false">
      <c r="A929" s="57" t="n">
        <v>46272</v>
      </c>
      <c r="B929" s="0" t="s">
        <v>1022</v>
      </c>
      <c r="C929" s="0" t="s">
        <v>15</v>
      </c>
      <c r="D929" s="0" t="s">
        <v>85</v>
      </c>
      <c r="E929" s="58" t="str">
        <f aca="false">VLOOKUP(D929,Models!$A$2:$B$13,2,0)</f>
        <v>75-inch 4K TV</v>
      </c>
      <c r="F929" s="0" t="s">
        <v>69</v>
      </c>
      <c r="G929" s="58" t="str">
        <f aca="false">VLOOKUP(F929,Countries!$A$2:$B$11,2,0)</f>
        <v>Egypt</v>
      </c>
      <c r="H929" s="13" t="n">
        <v>12</v>
      </c>
      <c r="I929" s="13" t="n">
        <v>374400</v>
      </c>
      <c r="J929" s="0" t="s">
        <v>16</v>
      </c>
      <c r="K929" s="0" t="s">
        <v>958</v>
      </c>
    </row>
    <row r="930" customFormat="false" ht="12.8" hidden="false" customHeight="false" outlineLevel="0" collapsed="false">
      <c r="A930" s="57" t="n">
        <v>46272</v>
      </c>
      <c r="B930" s="0" t="s">
        <v>1023</v>
      </c>
      <c r="C930" s="0" t="s">
        <v>17</v>
      </c>
      <c r="D930" s="0" t="s">
        <v>90</v>
      </c>
      <c r="E930" s="58" t="str">
        <f aca="false">VLOOKUP(D930,Models!$A$2:$B$13,2,0)</f>
        <v>55-inch 4K TV</v>
      </c>
      <c r="F930" s="0" t="s">
        <v>69</v>
      </c>
      <c r="G930" s="58" t="str">
        <f aca="false">VLOOKUP(F930,Countries!$A$2:$B$11,2,0)</f>
        <v>Egypt</v>
      </c>
      <c r="H930" s="13" t="n">
        <v>6</v>
      </c>
      <c r="I930" s="13" t="n">
        <v>73800</v>
      </c>
      <c r="J930" s="0" t="s">
        <v>16</v>
      </c>
      <c r="K930" s="0" t="s">
        <v>958</v>
      </c>
    </row>
    <row r="931" customFormat="false" ht="12.8" hidden="false" customHeight="false" outlineLevel="0" collapsed="false">
      <c r="A931" s="57" t="n">
        <v>46272</v>
      </c>
      <c r="B931" s="0" t="s">
        <v>1024</v>
      </c>
      <c r="C931" s="0" t="s">
        <v>17</v>
      </c>
      <c r="D931" s="0" t="s">
        <v>109</v>
      </c>
      <c r="E931" s="58" t="str">
        <f aca="false">VLOOKUP(D931,Models!$A$2:$B$13,2,0)</f>
        <v>55-inch QLED TV</v>
      </c>
      <c r="F931" s="0" t="s">
        <v>69</v>
      </c>
      <c r="G931" s="58" t="str">
        <f aca="false">VLOOKUP(F931,Countries!$A$2:$B$11,2,0)</f>
        <v>Egypt</v>
      </c>
      <c r="H931" s="13" t="n">
        <v>5</v>
      </c>
      <c r="I931" s="13" t="n">
        <v>78000</v>
      </c>
      <c r="J931" s="0" t="s">
        <v>16</v>
      </c>
      <c r="K931" s="0" t="s">
        <v>958</v>
      </c>
    </row>
    <row r="932" customFormat="false" ht="12.8" hidden="false" customHeight="false" outlineLevel="0" collapsed="false">
      <c r="A932" s="57" t="n">
        <v>46272</v>
      </c>
      <c r="B932" s="0" t="s">
        <v>1025</v>
      </c>
      <c r="C932" s="0" t="s">
        <v>17</v>
      </c>
      <c r="D932" s="0" t="s">
        <v>77</v>
      </c>
      <c r="E932" s="58" t="str">
        <f aca="false">VLOOKUP(D932,Models!$A$2:$B$13,2,0)</f>
        <v>65-inch QLED TV</v>
      </c>
      <c r="F932" s="0" t="s">
        <v>69</v>
      </c>
      <c r="G932" s="58" t="str">
        <f aca="false">VLOOKUP(F932,Countries!$A$2:$B$11,2,0)</f>
        <v>Egypt</v>
      </c>
      <c r="H932" s="13" t="n">
        <v>13</v>
      </c>
      <c r="I932" s="13" t="n">
        <v>318500</v>
      </c>
      <c r="J932" s="0" t="s">
        <v>16</v>
      </c>
      <c r="K932" s="0" t="s">
        <v>958</v>
      </c>
    </row>
    <row r="933" customFormat="false" ht="12.8" hidden="false" customHeight="false" outlineLevel="0" collapsed="false">
      <c r="A933" s="57" t="n">
        <v>46272</v>
      </c>
      <c r="B933" s="0" t="s">
        <v>1026</v>
      </c>
      <c r="C933" s="0" t="s">
        <v>19</v>
      </c>
      <c r="D933" s="0" t="s">
        <v>95</v>
      </c>
      <c r="E933" s="58" t="str">
        <f aca="false">VLOOKUP(D933,Models!$A$2:$B$13,2,0)</f>
        <v>32-inch HD TV</v>
      </c>
      <c r="F933" s="0" t="s">
        <v>69</v>
      </c>
      <c r="G933" s="58" t="str">
        <f aca="false">VLOOKUP(F933,Countries!$A$2:$B$11,2,0)</f>
        <v>Egypt</v>
      </c>
      <c r="H933" s="13" t="n">
        <v>31</v>
      </c>
      <c r="I933" s="13" t="n">
        <v>120900</v>
      </c>
      <c r="J933" s="0" t="s">
        <v>16</v>
      </c>
      <c r="K933" s="0" t="s">
        <v>958</v>
      </c>
    </row>
    <row r="934" customFormat="false" ht="12.8" hidden="false" customHeight="false" outlineLevel="0" collapsed="false">
      <c r="A934" s="57" t="n">
        <v>46272</v>
      </c>
      <c r="B934" s="0" t="s">
        <v>1027</v>
      </c>
      <c r="C934" s="0" t="s">
        <v>20</v>
      </c>
      <c r="D934" s="0" t="s">
        <v>92</v>
      </c>
      <c r="E934" s="58" t="str">
        <f aca="false">VLOOKUP(D934,Models!$A$2:$B$13,2,0)</f>
        <v>65-inch 4K TV</v>
      </c>
      <c r="F934" s="0" t="s">
        <v>69</v>
      </c>
      <c r="G934" s="58" t="str">
        <f aca="false">VLOOKUP(F934,Countries!$A$2:$B$11,2,0)</f>
        <v>Egypt</v>
      </c>
      <c r="H934" s="13" t="n">
        <v>13</v>
      </c>
      <c r="I934" s="13" t="n">
        <v>257400</v>
      </c>
      <c r="J934" s="0" t="s">
        <v>16</v>
      </c>
      <c r="K934" s="0" t="s">
        <v>958</v>
      </c>
    </row>
    <row r="935" customFormat="false" ht="12.8" hidden="false" customHeight="false" outlineLevel="0" collapsed="false">
      <c r="A935" s="57" t="n">
        <v>46272</v>
      </c>
      <c r="B935" s="0" t="s">
        <v>1028</v>
      </c>
      <c r="C935" s="0" t="s">
        <v>21</v>
      </c>
      <c r="D935" s="0" t="s">
        <v>71</v>
      </c>
      <c r="E935" s="58" t="str">
        <f aca="false">VLOOKUP(D935,Models!$A$2:$B$13,2,0)</f>
        <v>43-inch Full HD TV</v>
      </c>
      <c r="F935" s="0" t="s">
        <v>79</v>
      </c>
      <c r="G935" s="58" t="str">
        <f aca="false">VLOOKUP(F935,Countries!$A$2:$B$11,2,0)</f>
        <v>Iraq</v>
      </c>
      <c r="H935" s="13" t="n">
        <v>22</v>
      </c>
      <c r="I935" s="13" t="n">
        <v>151800</v>
      </c>
      <c r="J935" s="0" t="s">
        <v>16</v>
      </c>
      <c r="K935" s="0" t="s">
        <v>958</v>
      </c>
    </row>
    <row r="936" customFormat="false" ht="12.8" hidden="false" customHeight="false" outlineLevel="0" collapsed="false">
      <c r="A936" s="57" t="n">
        <v>46272</v>
      </c>
      <c r="B936" s="0" t="s">
        <v>1029</v>
      </c>
      <c r="C936" s="0" t="s">
        <v>21</v>
      </c>
      <c r="D936" s="0" t="s">
        <v>68</v>
      </c>
      <c r="E936" s="58" t="str">
        <f aca="false">VLOOKUP(D936,Models!$A$2:$B$13,2,0)</f>
        <v>50-inch 4K TV</v>
      </c>
      <c r="F936" s="0" t="s">
        <v>79</v>
      </c>
      <c r="G936" s="58" t="str">
        <f aca="false">VLOOKUP(F936,Countries!$A$2:$B$11,2,0)</f>
        <v>Iraq</v>
      </c>
      <c r="H936" s="13" t="n">
        <v>27</v>
      </c>
      <c r="I936" s="13" t="n">
        <v>280800</v>
      </c>
      <c r="J936" s="0" t="s">
        <v>16</v>
      </c>
      <c r="K936" s="0" t="s">
        <v>958</v>
      </c>
    </row>
    <row r="937" customFormat="false" ht="12.8" hidden="false" customHeight="false" outlineLevel="0" collapsed="false">
      <c r="A937" s="57" t="n">
        <v>46273</v>
      </c>
      <c r="B937" s="0" t="s">
        <v>1030</v>
      </c>
      <c r="C937" s="0" t="s">
        <v>13</v>
      </c>
      <c r="D937" s="0" t="s">
        <v>85</v>
      </c>
      <c r="E937" s="58" t="str">
        <f aca="false">VLOOKUP(D937,Models!$A$2:$B$13,2,0)</f>
        <v>75-inch 4K TV</v>
      </c>
      <c r="F937" s="0" t="s">
        <v>69</v>
      </c>
      <c r="G937" s="58" t="str">
        <f aca="false">VLOOKUP(F937,Countries!$A$2:$B$11,2,0)</f>
        <v>Egypt</v>
      </c>
      <c r="H937" s="13" t="n">
        <v>13</v>
      </c>
      <c r="I937" s="13" t="n">
        <v>405600</v>
      </c>
      <c r="J937" s="0" t="s">
        <v>16</v>
      </c>
      <c r="K937" s="0" t="s">
        <v>958</v>
      </c>
    </row>
    <row r="938" customFormat="false" ht="12.8" hidden="false" customHeight="false" outlineLevel="0" collapsed="false">
      <c r="A938" s="57" t="n">
        <v>46273</v>
      </c>
      <c r="B938" s="0" t="s">
        <v>1031</v>
      </c>
      <c r="C938" s="0" t="s">
        <v>13</v>
      </c>
      <c r="D938" s="0" t="s">
        <v>77</v>
      </c>
      <c r="E938" s="58" t="str">
        <f aca="false">VLOOKUP(D938,Models!$A$2:$B$13,2,0)</f>
        <v>65-inch QLED TV</v>
      </c>
      <c r="F938" s="0" t="s">
        <v>69</v>
      </c>
      <c r="G938" s="58" t="str">
        <f aca="false">VLOOKUP(F938,Countries!$A$2:$B$11,2,0)</f>
        <v>Egypt</v>
      </c>
      <c r="H938" s="13" t="n">
        <v>19</v>
      </c>
      <c r="I938" s="13" t="n">
        <v>465500</v>
      </c>
      <c r="J938" s="0" t="s">
        <v>16</v>
      </c>
      <c r="K938" s="0" t="s">
        <v>958</v>
      </c>
    </row>
    <row r="939" customFormat="false" ht="12.8" hidden="false" customHeight="false" outlineLevel="0" collapsed="false">
      <c r="A939" s="57" t="n">
        <v>46273</v>
      </c>
      <c r="B939" s="0" t="s">
        <v>1032</v>
      </c>
      <c r="C939" s="0" t="s">
        <v>13</v>
      </c>
      <c r="D939" s="0" t="s">
        <v>85</v>
      </c>
      <c r="E939" s="58" t="str">
        <f aca="false">VLOOKUP(D939,Models!$A$2:$B$13,2,0)</f>
        <v>75-inch 4K TV</v>
      </c>
      <c r="F939" s="0" t="s">
        <v>65</v>
      </c>
      <c r="G939" s="58" t="str">
        <f aca="false">VLOOKUP(F939,Countries!$A$2:$B$11,2,0)</f>
        <v>Jordan</v>
      </c>
      <c r="H939" s="13" t="n">
        <v>14</v>
      </c>
      <c r="I939" s="13" t="n">
        <v>436800</v>
      </c>
      <c r="J939" s="0" t="s">
        <v>16</v>
      </c>
      <c r="K939" s="0" t="s">
        <v>958</v>
      </c>
    </row>
    <row r="940" customFormat="false" ht="12.8" hidden="false" customHeight="false" outlineLevel="0" collapsed="false">
      <c r="A940" s="57" t="n">
        <v>46273</v>
      </c>
      <c r="B940" s="0" t="s">
        <v>1033</v>
      </c>
      <c r="C940" s="0" t="s">
        <v>13</v>
      </c>
      <c r="D940" s="0" t="s">
        <v>64</v>
      </c>
      <c r="E940" s="58" t="str">
        <f aca="false">VLOOKUP(D940,Models!$A$2:$B$13,2,0)</f>
        <v>32-inch Smart TV</v>
      </c>
      <c r="F940" s="0" t="s">
        <v>83</v>
      </c>
      <c r="G940" s="58" t="str">
        <f aca="false">VLOOKUP(F940,Countries!$A$2:$B$11,2,0)</f>
        <v>United Arab Emirates</v>
      </c>
      <c r="H940" s="13" t="n">
        <v>20</v>
      </c>
      <c r="I940" s="13" t="n">
        <v>92000</v>
      </c>
      <c r="J940" s="0" t="s">
        <v>16</v>
      </c>
      <c r="K940" s="0" t="s">
        <v>958</v>
      </c>
    </row>
    <row r="941" customFormat="false" ht="12.8" hidden="false" customHeight="false" outlineLevel="0" collapsed="false">
      <c r="A941" s="57" t="n">
        <v>46273</v>
      </c>
      <c r="B941" s="0" t="s">
        <v>1034</v>
      </c>
      <c r="C941" s="0" t="s">
        <v>15</v>
      </c>
      <c r="D941" s="0" t="s">
        <v>74</v>
      </c>
      <c r="E941" s="58" t="str">
        <f aca="false">VLOOKUP(D941,Models!$A$2:$B$13,2,0)</f>
        <v>40-inch Full HD TV</v>
      </c>
      <c r="F941" s="0" t="s">
        <v>79</v>
      </c>
      <c r="G941" s="58" t="str">
        <f aca="false">VLOOKUP(F941,Countries!$A$2:$B$11,2,0)</f>
        <v>Iraq</v>
      </c>
      <c r="H941" s="13" t="n">
        <v>38</v>
      </c>
      <c r="I941" s="13" t="n">
        <v>235600</v>
      </c>
      <c r="J941" s="0" t="s">
        <v>16</v>
      </c>
      <c r="K941" s="0" t="s">
        <v>958</v>
      </c>
    </row>
    <row r="942" customFormat="false" ht="12.8" hidden="false" customHeight="false" outlineLevel="0" collapsed="false">
      <c r="A942" s="57" t="n">
        <v>46273</v>
      </c>
      <c r="B942" s="0" t="s">
        <v>1035</v>
      </c>
      <c r="C942" s="0" t="s">
        <v>15</v>
      </c>
      <c r="D942" s="0" t="s">
        <v>95</v>
      </c>
      <c r="E942" s="58" t="str">
        <f aca="false">VLOOKUP(D942,Models!$A$2:$B$13,2,0)</f>
        <v>32-inch HD TV</v>
      </c>
      <c r="F942" s="0" t="s">
        <v>69</v>
      </c>
      <c r="G942" s="58" t="str">
        <f aca="false">VLOOKUP(F942,Countries!$A$2:$B$11,2,0)</f>
        <v>Egypt</v>
      </c>
      <c r="H942" s="13" t="n">
        <v>43</v>
      </c>
      <c r="I942" s="13" t="n">
        <v>167700</v>
      </c>
      <c r="J942" s="0" t="s">
        <v>16</v>
      </c>
      <c r="K942" s="0" t="s">
        <v>958</v>
      </c>
    </row>
    <row r="943" customFormat="false" ht="12.8" hidden="false" customHeight="false" outlineLevel="0" collapsed="false">
      <c r="A943" s="57" t="n">
        <v>46273</v>
      </c>
      <c r="B943" s="0" t="s">
        <v>1036</v>
      </c>
      <c r="C943" s="0" t="s">
        <v>17</v>
      </c>
      <c r="D943" s="0" t="s">
        <v>95</v>
      </c>
      <c r="E943" s="58" t="str">
        <f aca="false">VLOOKUP(D943,Models!$A$2:$B$13,2,0)</f>
        <v>32-inch HD TV</v>
      </c>
      <c r="F943" s="0" t="s">
        <v>69</v>
      </c>
      <c r="G943" s="58" t="str">
        <f aca="false">VLOOKUP(F943,Countries!$A$2:$B$11,2,0)</f>
        <v>Egypt</v>
      </c>
      <c r="H943" s="13" t="n">
        <v>12</v>
      </c>
      <c r="I943" s="13" t="n">
        <v>46800</v>
      </c>
      <c r="J943" s="0" t="s">
        <v>16</v>
      </c>
      <c r="K943" s="0" t="s">
        <v>958</v>
      </c>
    </row>
    <row r="944" customFormat="false" ht="12.8" hidden="false" customHeight="false" outlineLevel="0" collapsed="false">
      <c r="A944" s="57" t="n">
        <v>46273</v>
      </c>
      <c r="B944" s="0" t="s">
        <v>1037</v>
      </c>
      <c r="C944" s="0" t="s">
        <v>17</v>
      </c>
      <c r="D944" s="0" t="s">
        <v>77</v>
      </c>
      <c r="E944" s="58" t="str">
        <f aca="false">VLOOKUP(D944,Models!$A$2:$B$13,2,0)</f>
        <v>65-inch QLED TV</v>
      </c>
      <c r="F944" s="0" t="s">
        <v>69</v>
      </c>
      <c r="G944" s="58" t="str">
        <f aca="false">VLOOKUP(F944,Countries!$A$2:$B$11,2,0)</f>
        <v>Egypt</v>
      </c>
      <c r="H944" s="13" t="n">
        <v>10</v>
      </c>
      <c r="I944" s="13" t="n">
        <v>245000</v>
      </c>
      <c r="J944" s="0" t="s">
        <v>16</v>
      </c>
      <c r="K944" s="0" t="s">
        <v>958</v>
      </c>
    </row>
    <row r="945" customFormat="false" ht="12.8" hidden="false" customHeight="false" outlineLevel="0" collapsed="false">
      <c r="A945" s="57" t="n">
        <v>46273</v>
      </c>
      <c r="B945" s="0" t="s">
        <v>1038</v>
      </c>
      <c r="C945" s="0" t="s">
        <v>17</v>
      </c>
      <c r="D945" s="0" t="s">
        <v>85</v>
      </c>
      <c r="E945" s="58" t="str">
        <f aca="false">VLOOKUP(D945,Models!$A$2:$B$13,2,0)</f>
        <v>75-inch 4K TV</v>
      </c>
      <c r="F945" s="0" t="s">
        <v>83</v>
      </c>
      <c r="G945" s="58" t="str">
        <f aca="false">VLOOKUP(F945,Countries!$A$2:$B$11,2,0)</f>
        <v>United Arab Emirates</v>
      </c>
      <c r="H945" s="13" t="n">
        <v>6</v>
      </c>
      <c r="I945" s="13" t="n">
        <v>187200</v>
      </c>
      <c r="J945" s="0" t="s">
        <v>16</v>
      </c>
      <c r="K945" s="0" t="s">
        <v>958</v>
      </c>
    </row>
    <row r="946" customFormat="false" ht="12.8" hidden="false" customHeight="false" outlineLevel="0" collapsed="false">
      <c r="A946" s="57" t="n">
        <v>46273</v>
      </c>
      <c r="B946" s="0" t="s">
        <v>1039</v>
      </c>
      <c r="C946" s="0" t="s">
        <v>17</v>
      </c>
      <c r="D946" s="0" t="s">
        <v>71</v>
      </c>
      <c r="E946" s="58" t="str">
        <f aca="false">VLOOKUP(D946,Models!$A$2:$B$13,2,0)</f>
        <v>43-inch Full HD TV</v>
      </c>
      <c r="F946" s="0" t="s">
        <v>69</v>
      </c>
      <c r="G946" s="58" t="str">
        <f aca="false">VLOOKUP(F946,Countries!$A$2:$B$11,2,0)</f>
        <v>Egypt</v>
      </c>
      <c r="H946" s="13" t="n">
        <v>37</v>
      </c>
      <c r="I946" s="13" t="n">
        <v>255300</v>
      </c>
      <c r="J946" s="0" t="s">
        <v>16</v>
      </c>
      <c r="K946" s="0" t="s">
        <v>958</v>
      </c>
    </row>
    <row r="947" customFormat="false" ht="12.8" hidden="false" customHeight="false" outlineLevel="0" collapsed="false">
      <c r="A947" s="57" t="n">
        <v>46273</v>
      </c>
      <c r="B947" s="0" t="s">
        <v>1040</v>
      </c>
      <c r="C947" s="0" t="s">
        <v>17</v>
      </c>
      <c r="D947" s="0" t="s">
        <v>77</v>
      </c>
      <c r="E947" s="58" t="str">
        <f aca="false">VLOOKUP(D947,Models!$A$2:$B$13,2,0)</f>
        <v>65-inch QLED TV</v>
      </c>
      <c r="F947" s="0" t="s">
        <v>69</v>
      </c>
      <c r="G947" s="58" t="str">
        <f aca="false">VLOOKUP(F947,Countries!$A$2:$B$11,2,0)</f>
        <v>Egypt</v>
      </c>
      <c r="H947" s="13" t="n">
        <v>6</v>
      </c>
      <c r="I947" s="13" t="n">
        <v>147000</v>
      </c>
      <c r="J947" s="0" t="s">
        <v>16</v>
      </c>
      <c r="K947" s="0" t="s">
        <v>958</v>
      </c>
    </row>
    <row r="948" customFormat="false" ht="12.8" hidden="false" customHeight="false" outlineLevel="0" collapsed="false">
      <c r="A948" s="57" t="n">
        <v>46273</v>
      </c>
      <c r="B948" s="0" t="s">
        <v>1041</v>
      </c>
      <c r="C948" s="0" t="s">
        <v>19</v>
      </c>
      <c r="D948" s="0" t="s">
        <v>64</v>
      </c>
      <c r="E948" s="58" t="str">
        <f aca="false">VLOOKUP(D948,Models!$A$2:$B$13,2,0)</f>
        <v>32-inch Smart TV</v>
      </c>
      <c r="F948" s="0" t="s">
        <v>69</v>
      </c>
      <c r="G948" s="58" t="str">
        <f aca="false">VLOOKUP(F948,Countries!$A$2:$B$11,2,0)</f>
        <v>Egypt</v>
      </c>
      <c r="H948" s="13" t="n">
        <v>11</v>
      </c>
      <c r="I948" s="13" t="n">
        <v>50600</v>
      </c>
      <c r="J948" s="0" t="s">
        <v>16</v>
      </c>
      <c r="K948" s="0" t="s">
        <v>958</v>
      </c>
    </row>
    <row r="949" customFormat="false" ht="12.8" hidden="false" customHeight="false" outlineLevel="0" collapsed="false">
      <c r="A949" s="57" t="n">
        <v>46273</v>
      </c>
      <c r="B949" s="0" t="s">
        <v>1042</v>
      </c>
      <c r="C949" s="0" t="s">
        <v>19</v>
      </c>
      <c r="D949" s="0" t="s">
        <v>74</v>
      </c>
      <c r="E949" s="58" t="str">
        <f aca="false">VLOOKUP(D949,Models!$A$2:$B$13,2,0)</f>
        <v>40-inch Full HD TV</v>
      </c>
      <c r="F949" s="0" t="s">
        <v>69</v>
      </c>
      <c r="G949" s="58" t="str">
        <f aca="false">VLOOKUP(F949,Countries!$A$2:$B$11,2,0)</f>
        <v>Egypt</v>
      </c>
      <c r="H949" s="13" t="n">
        <v>36</v>
      </c>
      <c r="I949" s="13" t="n">
        <v>223200</v>
      </c>
      <c r="J949" s="0" t="s">
        <v>16</v>
      </c>
      <c r="K949" s="0" t="s">
        <v>958</v>
      </c>
    </row>
    <row r="950" customFormat="false" ht="12.8" hidden="false" customHeight="false" outlineLevel="0" collapsed="false">
      <c r="A950" s="57" t="n">
        <v>46273</v>
      </c>
      <c r="B950" s="0" t="s">
        <v>1043</v>
      </c>
      <c r="C950" s="0" t="s">
        <v>20</v>
      </c>
      <c r="D950" s="0" t="s">
        <v>88</v>
      </c>
      <c r="E950" s="58" t="str">
        <f aca="false">VLOOKUP(D950,Models!$A$2:$B$13,2,0)</f>
        <v>24-inch HD TV</v>
      </c>
      <c r="F950" s="0" t="s">
        <v>69</v>
      </c>
      <c r="G950" s="58" t="str">
        <f aca="false">VLOOKUP(F950,Countries!$A$2:$B$11,2,0)</f>
        <v>Egypt</v>
      </c>
      <c r="H950" s="13" t="n">
        <v>25</v>
      </c>
      <c r="I950" s="13" t="n">
        <v>72500</v>
      </c>
      <c r="J950" s="0" t="s">
        <v>16</v>
      </c>
      <c r="K950" s="0" t="s">
        <v>958</v>
      </c>
    </row>
    <row r="951" customFormat="false" ht="12.8" hidden="false" customHeight="false" outlineLevel="0" collapsed="false">
      <c r="A951" s="57" t="n">
        <v>46273</v>
      </c>
      <c r="B951" s="0" t="s">
        <v>1044</v>
      </c>
      <c r="C951" s="0" t="s">
        <v>20</v>
      </c>
      <c r="D951" s="0" t="s">
        <v>77</v>
      </c>
      <c r="E951" s="58" t="str">
        <f aca="false">VLOOKUP(D951,Models!$A$2:$B$13,2,0)</f>
        <v>65-inch QLED TV</v>
      </c>
      <c r="F951" s="0" t="s">
        <v>177</v>
      </c>
      <c r="G951" s="58" t="str">
        <f aca="false">VLOOKUP(F951,Countries!$A$2:$B$11,2,0)</f>
        <v>Saudi Arabia</v>
      </c>
      <c r="H951" s="13" t="n">
        <v>8</v>
      </c>
      <c r="I951" s="13" t="n">
        <v>196000</v>
      </c>
      <c r="J951" s="0" t="s">
        <v>16</v>
      </c>
      <c r="K951" s="0" t="s">
        <v>958</v>
      </c>
    </row>
    <row r="952" customFormat="false" ht="12.8" hidden="false" customHeight="false" outlineLevel="0" collapsed="false">
      <c r="A952" s="57" t="n">
        <v>46273</v>
      </c>
      <c r="B952" s="0" t="s">
        <v>1045</v>
      </c>
      <c r="C952" s="0" t="s">
        <v>20</v>
      </c>
      <c r="D952" s="0" t="s">
        <v>85</v>
      </c>
      <c r="E952" s="58" t="str">
        <f aca="false">VLOOKUP(D952,Models!$A$2:$B$13,2,0)</f>
        <v>75-inch 4K TV</v>
      </c>
      <c r="F952" s="0" t="s">
        <v>65</v>
      </c>
      <c r="G952" s="58" t="str">
        <f aca="false">VLOOKUP(F952,Countries!$A$2:$B$11,2,0)</f>
        <v>Jordan</v>
      </c>
      <c r="H952" s="13" t="n">
        <v>15</v>
      </c>
      <c r="I952" s="13" t="n">
        <v>468000</v>
      </c>
      <c r="J952" s="0" t="s">
        <v>16</v>
      </c>
      <c r="K952" s="0" t="s">
        <v>958</v>
      </c>
    </row>
    <row r="953" customFormat="false" ht="12.8" hidden="false" customHeight="false" outlineLevel="0" collapsed="false">
      <c r="A953" s="57" t="n">
        <v>46273</v>
      </c>
      <c r="B953" s="0" t="s">
        <v>1046</v>
      </c>
      <c r="C953" s="0" t="s">
        <v>21</v>
      </c>
      <c r="D953" s="0" t="s">
        <v>95</v>
      </c>
      <c r="E953" s="58" t="str">
        <f aca="false">VLOOKUP(D953,Models!$A$2:$B$13,2,0)</f>
        <v>32-inch HD TV</v>
      </c>
      <c r="F953" s="0" t="s">
        <v>69</v>
      </c>
      <c r="G953" s="58" t="str">
        <f aca="false">VLOOKUP(F953,Countries!$A$2:$B$11,2,0)</f>
        <v>Egypt</v>
      </c>
      <c r="H953" s="13" t="n">
        <v>59</v>
      </c>
      <c r="I953" s="13" t="n">
        <v>230100</v>
      </c>
      <c r="J953" s="0" t="s">
        <v>16</v>
      </c>
      <c r="K953" s="0" t="s">
        <v>958</v>
      </c>
    </row>
    <row r="954" customFormat="false" ht="12.8" hidden="false" customHeight="false" outlineLevel="0" collapsed="false">
      <c r="A954" s="57" t="n">
        <v>46273</v>
      </c>
      <c r="B954" s="0" t="s">
        <v>1047</v>
      </c>
      <c r="C954" s="0" t="s">
        <v>21</v>
      </c>
      <c r="D954" s="0" t="s">
        <v>68</v>
      </c>
      <c r="E954" s="58" t="str">
        <f aca="false">VLOOKUP(D954,Models!$A$2:$B$13,2,0)</f>
        <v>50-inch 4K TV</v>
      </c>
      <c r="F954" s="0" t="s">
        <v>69</v>
      </c>
      <c r="G954" s="58" t="str">
        <f aca="false">VLOOKUP(F954,Countries!$A$2:$B$11,2,0)</f>
        <v>Egypt</v>
      </c>
      <c r="H954" s="13" t="n">
        <v>14</v>
      </c>
      <c r="I954" s="13" t="n">
        <v>145600</v>
      </c>
      <c r="J954" s="0" t="s">
        <v>16</v>
      </c>
      <c r="K954" s="0" t="s">
        <v>958</v>
      </c>
    </row>
    <row r="955" customFormat="false" ht="12.8" hidden="false" customHeight="false" outlineLevel="0" collapsed="false">
      <c r="A955" s="57" t="n">
        <v>46274</v>
      </c>
      <c r="B955" s="0" t="s">
        <v>1048</v>
      </c>
      <c r="C955" s="0" t="s">
        <v>13</v>
      </c>
      <c r="D955" s="0" t="s">
        <v>109</v>
      </c>
      <c r="E955" s="58" t="str">
        <f aca="false">VLOOKUP(D955,Models!$A$2:$B$13,2,0)</f>
        <v>55-inch QLED TV</v>
      </c>
      <c r="F955" s="0" t="s">
        <v>69</v>
      </c>
      <c r="G955" s="58" t="str">
        <f aca="false">VLOOKUP(F955,Countries!$A$2:$B$11,2,0)</f>
        <v>Egypt</v>
      </c>
      <c r="H955" s="13" t="n">
        <v>32</v>
      </c>
      <c r="I955" s="13" t="n">
        <v>499200</v>
      </c>
      <c r="J955" s="0" t="s">
        <v>16</v>
      </c>
      <c r="K955" s="0" t="s">
        <v>1049</v>
      </c>
    </row>
    <row r="956" customFormat="false" ht="12.8" hidden="false" customHeight="false" outlineLevel="0" collapsed="false">
      <c r="A956" s="57" t="n">
        <v>46274</v>
      </c>
      <c r="B956" s="0" t="s">
        <v>1050</v>
      </c>
      <c r="C956" s="0" t="s">
        <v>13</v>
      </c>
      <c r="D956" s="0" t="s">
        <v>85</v>
      </c>
      <c r="E956" s="58" t="str">
        <f aca="false">VLOOKUP(D956,Models!$A$2:$B$13,2,0)</f>
        <v>75-inch 4K TV</v>
      </c>
      <c r="F956" s="0" t="s">
        <v>69</v>
      </c>
      <c r="G956" s="58" t="str">
        <f aca="false">VLOOKUP(F956,Countries!$A$2:$B$11,2,0)</f>
        <v>Egypt</v>
      </c>
      <c r="H956" s="13" t="n">
        <v>7</v>
      </c>
      <c r="I956" s="13" t="n">
        <v>218400</v>
      </c>
      <c r="J956" s="0" t="s">
        <v>16</v>
      </c>
      <c r="K956" s="0" t="s">
        <v>1049</v>
      </c>
    </row>
    <row r="957" customFormat="false" ht="12.8" hidden="false" customHeight="false" outlineLevel="0" collapsed="false">
      <c r="A957" s="57" t="n">
        <v>46274</v>
      </c>
      <c r="B957" s="0" t="s">
        <v>1051</v>
      </c>
      <c r="C957" s="0" t="s">
        <v>13</v>
      </c>
      <c r="D957" s="0" t="s">
        <v>88</v>
      </c>
      <c r="E957" s="58" t="str">
        <f aca="false">VLOOKUP(D957,Models!$A$2:$B$13,2,0)</f>
        <v>24-inch HD TV</v>
      </c>
      <c r="F957" s="0" t="s">
        <v>69</v>
      </c>
      <c r="G957" s="58" t="str">
        <f aca="false">VLOOKUP(F957,Countries!$A$2:$B$11,2,0)</f>
        <v>Egypt</v>
      </c>
      <c r="H957" s="13" t="n">
        <v>22</v>
      </c>
      <c r="I957" s="13" t="n">
        <v>63800</v>
      </c>
      <c r="J957" s="0" t="s">
        <v>16</v>
      </c>
      <c r="K957" s="0" t="s">
        <v>1049</v>
      </c>
    </row>
    <row r="958" customFormat="false" ht="12.8" hidden="false" customHeight="false" outlineLevel="0" collapsed="false">
      <c r="A958" s="57" t="n">
        <v>46274</v>
      </c>
      <c r="B958" s="0" t="s">
        <v>1052</v>
      </c>
      <c r="C958" s="0" t="s">
        <v>15</v>
      </c>
      <c r="D958" s="0" t="s">
        <v>109</v>
      </c>
      <c r="E958" s="58" t="str">
        <f aca="false">VLOOKUP(D958,Models!$A$2:$B$13,2,0)</f>
        <v>55-inch QLED TV</v>
      </c>
      <c r="F958" s="0" t="s">
        <v>101</v>
      </c>
      <c r="G958" s="58" t="str">
        <f aca="false">VLOOKUP(F958,Countries!$A$2:$B$11,2,0)</f>
        <v>Kuwait</v>
      </c>
      <c r="H958" s="13" t="n">
        <v>20</v>
      </c>
      <c r="I958" s="13" t="n">
        <v>312000</v>
      </c>
      <c r="J958" s="0" t="s">
        <v>16</v>
      </c>
      <c r="K958" s="0" t="s">
        <v>1049</v>
      </c>
    </row>
    <row r="959" customFormat="false" ht="12.8" hidden="false" customHeight="false" outlineLevel="0" collapsed="false">
      <c r="A959" s="57" t="n">
        <v>46274</v>
      </c>
      <c r="B959" s="0" t="s">
        <v>1053</v>
      </c>
      <c r="C959" s="0" t="s">
        <v>15</v>
      </c>
      <c r="D959" s="0" t="s">
        <v>71</v>
      </c>
      <c r="E959" s="58" t="str">
        <f aca="false">VLOOKUP(D959,Models!$A$2:$B$13,2,0)</f>
        <v>43-inch Full HD TV</v>
      </c>
      <c r="F959" s="0" t="s">
        <v>69</v>
      </c>
      <c r="G959" s="58" t="str">
        <f aca="false">VLOOKUP(F959,Countries!$A$2:$B$11,2,0)</f>
        <v>Egypt</v>
      </c>
      <c r="H959" s="13" t="n">
        <v>38</v>
      </c>
      <c r="I959" s="13" t="n">
        <v>262200</v>
      </c>
      <c r="J959" s="0" t="s">
        <v>16</v>
      </c>
      <c r="K959" s="0" t="s">
        <v>1049</v>
      </c>
    </row>
    <row r="960" customFormat="false" ht="12.8" hidden="false" customHeight="false" outlineLevel="0" collapsed="false">
      <c r="A960" s="57" t="n">
        <v>46274</v>
      </c>
      <c r="B960" s="0" t="s">
        <v>1054</v>
      </c>
      <c r="C960" s="0" t="s">
        <v>15</v>
      </c>
      <c r="D960" s="0" t="s">
        <v>68</v>
      </c>
      <c r="E960" s="58" t="str">
        <f aca="false">VLOOKUP(D960,Models!$A$2:$B$13,2,0)</f>
        <v>50-inch 4K TV</v>
      </c>
      <c r="F960" s="0" t="s">
        <v>69</v>
      </c>
      <c r="G960" s="58" t="str">
        <f aca="false">VLOOKUP(F960,Countries!$A$2:$B$11,2,0)</f>
        <v>Egypt</v>
      </c>
      <c r="H960" s="13" t="n">
        <v>26</v>
      </c>
      <c r="I960" s="13" t="n">
        <v>270400</v>
      </c>
      <c r="J960" s="0" t="s">
        <v>16</v>
      </c>
      <c r="K960" s="0" t="s">
        <v>1049</v>
      </c>
    </row>
    <row r="961" customFormat="false" ht="12.8" hidden="false" customHeight="false" outlineLevel="0" collapsed="false">
      <c r="A961" s="57" t="n">
        <v>46274</v>
      </c>
      <c r="B961" s="0" t="s">
        <v>1055</v>
      </c>
      <c r="C961" s="0" t="s">
        <v>15</v>
      </c>
      <c r="D961" s="0" t="s">
        <v>109</v>
      </c>
      <c r="E961" s="58" t="str">
        <f aca="false">VLOOKUP(D961,Models!$A$2:$B$13,2,0)</f>
        <v>55-inch QLED TV</v>
      </c>
      <c r="F961" s="0" t="s">
        <v>69</v>
      </c>
      <c r="G961" s="58" t="str">
        <f aca="false">VLOOKUP(F961,Countries!$A$2:$B$11,2,0)</f>
        <v>Egypt</v>
      </c>
      <c r="H961" s="13" t="n">
        <v>14</v>
      </c>
      <c r="I961" s="13" t="n">
        <v>218400</v>
      </c>
      <c r="J961" s="0" t="s">
        <v>16</v>
      </c>
      <c r="K961" s="0" t="s">
        <v>1049</v>
      </c>
    </row>
    <row r="962" customFormat="false" ht="12.8" hidden="false" customHeight="false" outlineLevel="0" collapsed="false">
      <c r="A962" s="57" t="n">
        <v>46274</v>
      </c>
      <c r="B962" s="0" t="s">
        <v>1056</v>
      </c>
      <c r="C962" s="0" t="s">
        <v>17</v>
      </c>
      <c r="D962" s="0" t="s">
        <v>71</v>
      </c>
      <c r="E962" s="58" t="str">
        <f aca="false">VLOOKUP(D962,Models!$A$2:$B$13,2,0)</f>
        <v>43-inch Full HD TV</v>
      </c>
      <c r="F962" s="0" t="s">
        <v>98</v>
      </c>
      <c r="G962" s="58" t="str">
        <f aca="false">VLOOKUP(F962,Countries!$A$2:$B$11,2,0)</f>
        <v>Libya</v>
      </c>
      <c r="H962" s="13" t="n">
        <v>44</v>
      </c>
      <c r="I962" s="13" t="n">
        <v>303600</v>
      </c>
      <c r="J962" s="0" t="s">
        <v>16</v>
      </c>
      <c r="K962" s="0" t="s">
        <v>1049</v>
      </c>
    </row>
    <row r="963" customFormat="false" ht="12.8" hidden="false" customHeight="false" outlineLevel="0" collapsed="false">
      <c r="A963" s="57" t="n">
        <v>46274</v>
      </c>
      <c r="B963" s="0" t="s">
        <v>1057</v>
      </c>
      <c r="C963" s="0" t="s">
        <v>17</v>
      </c>
      <c r="D963" s="0" t="s">
        <v>109</v>
      </c>
      <c r="E963" s="58" t="str">
        <f aca="false">VLOOKUP(D963,Models!$A$2:$B$13,2,0)</f>
        <v>55-inch QLED TV</v>
      </c>
      <c r="F963" s="0" t="s">
        <v>69</v>
      </c>
      <c r="G963" s="58" t="str">
        <f aca="false">VLOOKUP(F963,Countries!$A$2:$B$11,2,0)</f>
        <v>Egypt</v>
      </c>
      <c r="H963" s="13" t="n">
        <v>15</v>
      </c>
      <c r="I963" s="13" t="n">
        <v>234000</v>
      </c>
      <c r="J963" s="0" t="s">
        <v>16</v>
      </c>
      <c r="K963" s="0" t="s">
        <v>1049</v>
      </c>
    </row>
    <row r="964" customFormat="false" ht="12.8" hidden="false" customHeight="false" outlineLevel="0" collapsed="false">
      <c r="A964" s="57" t="n">
        <v>46274</v>
      </c>
      <c r="B964" s="0" t="s">
        <v>1058</v>
      </c>
      <c r="C964" s="0" t="s">
        <v>17</v>
      </c>
      <c r="D964" s="0" t="s">
        <v>68</v>
      </c>
      <c r="E964" s="58" t="str">
        <f aca="false">VLOOKUP(D964,Models!$A$2:$B$13,2,0)</f>
        <v>50-inch 4K TV</v>
      </c>
      <c r="F964" s="0" t="s">
        <v>69</v>
      </c>
      <c r="G964" s="58" t="str">
        <f aca="false">VLOOKUP(F964,Countries!$A$2:$B$11,2,0)</f>
        <v>Egypt</v>
      </c>
      <c r="H964" s="13" t="n">
        <v>31</v>
      </c>
      <c r="I964" s="13" t="n">
        <v>322400</v>
      </c>
      <c r="J964" s="0" t="s">
        <v>16</v>
      </c>
      <c r="K964" s="0" t="s">
        <v>1049</v>
      </c>
    </row>
    <row r="965" customFormat="false" ht="12.8" hidden="false" customHeight="false" outlineLevel="0" collapsed="false">
      <c r="A965" s="57" t="n">
        <v>46274</v>
      </c>
      <c r="B965" s="0" t="s">
        <v>1059</v>
      </c>
      <c r="C965" s="0" t="s">
        <v>19</v>
      </c>
      <c r="D965" s="0" t="s">
        <v>81</v>
      </c>
      <c r="E965" s="58" t="str">
        <f aca="false">VLOOKUP(D965,Models!$A$2:$B$13,2,0)</f>
        <v>43-inch Smart TV</v>
      </c>
      <c r="F965" s="0" t="s">
        <v>69</v>
      </c>
      <c r="G965" s="58" t="str">
        <f aca="false">VLOOKUP(F965,Countries!$A$2:$B$11,2,0)</f>
        <v>Egypt</v>
      </c>
      <c r="H965" s="13" t="n">
        <v>31</v>
      </c>
      <c r="I965" s="13" t="n">
        <v>241800</v>
      </c>
      <c r="J965" s="0" t="s">
        <v>16</v>
      </c>
      <c r="K965" s="0" t="s">
        <v>1049</v>
      </c>
    </row>
    <row r="966" customFormat="false" ht="12.8" hidden="false" customHeight="false" outlineLevel="0" collapsed="false">
      <c r="A966" s="57" t="n">
        <v>46274</v>
      </c>
      <c r="B966" s="0" t="s">
        <v>1060</v>
      </c>
      <c r="C966" s="0" t="s">
        <v>19</v>
      </c>
      <c r="D966" s="0" t="s">
        <v>71</v>
      </c>
      <c r="E966" s="58" t="str">
        <f aca="false">VLOOKUP(D966,Models!$A$2:$B$13,2,0)</f>
        <v>43-inch Full HD TV</v>
      </c>
      <c r="F966" s="0" t="s">
        <v>69</v>
      </c>
      <c r="G966" s="58" t="str">
        <f aca="false">VLOOKUP(F966,Countries!$A$2:$B$11,2,0)</f>
        <v>Egypt</v>
      </c>
      <c r="H966" s="13" t="n">
        <v>30</v>
      </c>
      <c r="I966" s="13" t="n">
        <v>207000</v>
      </c>
      <c r="J966" s="0" t="s">
        <v>16</v>
      </c>
      <c r="K966" s="0" t="s">
        <v>1049</v>
      </c>
    </row>
    <row r="967" customFormat="false" ht="12.8" hidden="false" customHeight="false" outlineLevel="0" collapsed="false">
      <c r="A967" s="57" t="n">
        <v>46274</v>
      </c>
      <c r="B967" s="0" t="s">
        <v>1061</v>
      </c>
      <c r="C967" s="0" t="s">
        <v>20</v>
      </c>
      <c r="D967" s="0" t="s">
        <v>71</v>
      </c>
      <c r="E967" s="58" t="str">
        <f aca="false">VLOOKUP(D967,Models!$A$2:$B$13,2,0)</f>
        <v>43-inch Full HD TV</v>
      </c>
      <c r="F967" s="0" t="s">
        <v>65</v>
      </c>
      <c r="G967" s="58" t="str">
        <f aca="false">VLOOKUP(F967,Countries!$A$2:$B$11,2,0)</f>
        <v>Jordan</v>
      </c>
      <c r="H967" s="13" t="n">
        <v>26</v>
      </c>
      <c r="I967" s="13" t="n">
        <v>179400</v>
      </c>
      <c r="J967" s="0" t="s">
        <v>16</v>
      </c>
      <c r="K967" s="0" t="s">
        <v>1049</v>
      </c>
    </row>
    <row r="968" customFormat="false" ht="12.8" hidden="false" customHeight="false" outlineLevel="0" collapsed="false">
      <c r="A968" s="57" t="n">
        <v>46274</v>
      </c>
      <c r="B968" s="0" t="s">
        <v>1062</v>
      </c>
      <c r="C968" s="0" t="s">
        <v>20</v>
      </c>
      <c r="D968" s="0" t="s">
        <v>92</v>
      </c>
      <c r="E968" s="58" t="str">
        <f aca="false">VLOOKUP(D968,Models!$A$2:$B$13,2,0)</f>
        <v>65-inch 4K TV</v>
      </c>
      <c r="F968" s="0" t="s">
        <v>98</v>
      </c>
      <c r="G968" s="58" t="str">
        <f aca="false">VLOOKUP(F968,Countries!$A$2:$B$11,2,0)</f>
        <v>Libya</v>
      </c>
      <c r="H968" s="13" t="n">
        <v>6</v>
      </c>
      <c r="I968" s="13" t="n">
        <v>118800</v>
      </c>
      <c r="J968" s="0" t="s">
        <v>16</v>
      </c>
      <c r="K968" s="0" t="s">
        <v>1049</v>
      </c>
    </row>
    <row r="969" customFormat="false" ht="12.8" hidden="false" customHeight="false" outlineLevel="0" collapsed="false">
      <c r="A969" s="57" t="n">
        <v>46274</v>
      </c>
      <c r="B969" s="0" t="s">
        <v>1063</v>
      </c>
      <c r="C969" s="0" t="s">
        <v>20</v>
      </c>
      <c r="D969" s="0" t="s">
        <v>71</v>
      </c>
      <c r="E969" s="58" t="str">
        <f aca="false">VLOOKUP(D969,Models!$A$2:$B$13,2,0)</f>
        <v>43-inch Full HD TV</v>
      </c>
      <c r="F969" s="0" t="s">
        <v>69</v>
      </c>
      <c r="G969" s="58" t="str">
        <f aca="false">VLOOKUP(F969,Countries!$A$2:$B$11,2,0)</f>
        <v>Egypt</v>
      </c>
      <c r="H969" s="13" t="n">
        <v>37</v>
      </c>
      <c r="I969" s="13" t="n">
        <v>255300</v>
      </c>
      <c r="J969" s="0" t="s">
        <v>16</v>
      </c>
      <c r="K969" s="0" t="s">
        <v>1049</v>
      </c>
    </row>
    <row r="970" customFormat="false" ht="12.8" hidden="false" customHeight="false" outlineLevel="0" collapsed="false">
      <c r="A970" s="57" t="n">
        <v>46274</v>
      </c>
      <c r="B970" s="0" t="s">
        <v>1064</v>
      </c>
      <c r="C970" s="0" t="s">
        <v>20</v>
      </c>
      <c r="D970" s="0" t="s">
        <v>90</v>
      </c>
      <c r="E970" s="58" t="str">
        <f aca="false">VLOOKUP(D970,Models!$A$2:$B$13,2,0)</f>
        <v>55-inch 4K TV</v>
      </c>
      <c r="F970" s="0" t="s">
        <v>101</v>
      </c>
      <c r="G970" s="58" t="str">
        <f aca="false">VLOOKUP(F970,Countries!$A$2:$B$11,2,0)</f>
        <v>Kuwait</v>
      </c>
      <c r="H970" s="13" t="n">
        <v>24</v>
      </c>
      <c r="I970" s="13" t="n">
        <v>295200</v>
      </c>
      <c r="J970" s="0" t="s">
        <v>16</v>
      </c>
      <c r="K970" s="0" t="s">
        <v>1049</v>
      </c>
    </row>
    <row r="971" customFormat="false" ht="12.8" hidden="false" customHeight="false" outlineLevel="0" collapsed="false">
      <c r="A971" s="57" t="n">
        <v>46274</v>
      </c>
      <c r="B971" s="0" t="s">
        <v>1065</v>
      </c>
      <c r="C971" s="0" t="s">
        <v>21</v>
      </c>
      <c r="D971" s="0" t="s">
        <v>95</v>
      </c>
      <c r="E971" s="58" t="str">
        <f aca="false">VLOOKUP(D971,Models!$A$2:$B$13,2,0)</f>
        <v>32-inch HD TV</v>
      </c>
      <c r="F971" s="0" t="s">
        <v>98</v>
      </c>
      <c r="G971" s="58" t="str">
        <f aca="false">VLOOKUP(F971,Countries!$A$2:$B$11,2,0)</f>
        <v>Libya</v>
      </c>
      <c r="H971" s="13" t="n">
        <v>35</v>
      </c>
      <c r="I971" s="13" t="n">
        <v>136500</v>
      </c>
      <c r="J971" s="0" t="s">
        <v>16</v>
      </c>
      <c r="K971" s="0" t="s">
        <v>1049</v>
      </c>
    </row>
    <row r="972" customFormat="false" ht="12.8" hidden="false" customHeight="false" outlineLevel="0" collapsed="false">
      <c r="A972" s="57" t="n">
        <v>46274</v>
      </c>
      <c r="B972" s="0" t="s">
        <v>1066</v>
      </c>
      <c r="C972" s="0" t="s">
        <v>21</v>
      </c>
      <c r="D972" s="0" t="s">
        <v>88</v>
      </c>
      <c r="E972" s="58" t="str">
        <f aca="false">VLOOKUP(D972,Models!$A$2:$B$13,2,0)</f>
        <v>24-inch HD TV</v>
      </c>
      <c r="F972" s="0" t="s">
        <v>65</v>
      </c>
      <c r="G972" s="58" t="str">
        <f aca="false">VLOOKUP(F972,Countries!$A$2:$B$11,2,0)</f>
        <v>Jordan</v>
      </c>
      <c r="H972" s="13" t="n">
        <v>25</v>
      </c>
      <c r="I972" s="13" t="n">
        <v>72500</v>
      </c>
      <c r="J972" s="0" t="s">
        <v>16</v>
      </c>
      <c r="K972" s="0" t="s">
        <v>1049</v>
      </c>
    </row>
    <row r="973" customFormat="false" ht="12.8" hidden="false" customHeight="false" outlineLevel="0" collapsed="false">
      <c r="A973" s="57" t="n">
        <v>46275</v>
      </c>
      <c r="B973" s="0" t="s">
        <v>1067</v>
      </c>
      <c r="C973" s="0" t="s">
        <v>13</v>
      </c>
      <c r="D973" s="0" t="s">
        <v>81</v>
      </c>
      <c r="E973" s="58" t="str">
        <f aca="false">VLOOKUP(D973,Models!$A$2:$B$13,2,0)</f>
        <v>43-inch Smart TV</v>
      </c>
      <c r="F973" s="0" t="s">
        <v>69</v>
      </c>
      <c r="G973" s="58" t="str">
        <f aca="false">VLOOKUP(F973,Countries!$A$2:$B$11,2,0)</f>
        <v>Egypt</v>
      </c>
      <c r="H973" s="13" t="n">
        <v>15</v>
      </c>
      <c r="I973" s="13" t="n">
        <v>117000</v>
      </c>
      <c r="J973" s="0" t="s">
        <v>16</v>
      </c>
      <c r="K973" s="0" t="s">
        <v>1049</v>
      </c>
    </row>
    <row r="974" customFormat="false" ht="12.8" hidden="false" customHeight="false" outlineLevel="0" collapsed="false">
      <c r="A974" s="57" t="n">
        <v>46275</v>
      </c>
      <c r="B974" s="0" t="s">
        <v>1068</v>
      </c>
      <c r="C974" s="0" t="s">
        <v>13</v>
      </c>
      <c r="D974" s="0" t="s">
        <v>77</v>
      </c>
      <c r="E974" s="58" t="str">
        <f aca="false">VLOOKUP(D974,Models!$A$2:$B$13,2,0)</f>
        <v>65-inch QLED TV</v>
      </c>
      <c r="F974" s="0" t="s">
        <v>69</v>
      </c>
      <c r="G974" s="58" t="str">
        <f aca="false">VLOOKUP(F974,Countries!$A$2:$B$11,2,0)</f>
        <v>Egypt</v>
      </c>
      <c r="H974" s="13" t="n">
        <v>16</v>
      </c>
      <c r="I974" s="13" t="n">
        <v>392000</v>
      </c>
      <c r="J974" s="0" t="s">
        <v>16</v>
      </c>
      <c r="K974" s="0" t="s">
        <v>1049</v>
      </c>
    </row>
    <row r="975" customFormat="false" ht="12.8" hidden="false" customHeight="false" outlineLevel="0" collapsed="false">
      <c r="A975" s="57" t="n">
        <v>46275</v>
      </c>
      <c r="B975" s="0" t="s">
        <v>1069</v>
      </c>
      <c r="C975" s="0" t="s">
        <v>15</v>
      </c>
      <c r="D975" s="0" t="s">
        <v>74</v>
      </c>
      <c r="E975" s="58" t="str">
        <f aca="false">VLOOKUP(D975,Models!$A$2:$B$13,2,0)</f>
        <v>40-inch Full HD TV</v>
      </c>
      <c r="F975" s="0" t="s">
        <v>69</v>
      </c>
      <c r="G975" s="58" t="str">
        <f aca="false">VLOOKUP(F975,Countries!$A$2:$B$11,2,0)</f>
        <v>Egypt</v>
      </c>
      <c r="H975" s="13" t="n">
        <v>6</v>
      </c>
      <c r="I975" s="13" t="n">
        <v>37200</v>
      </c>
      <c r="J975" s="0" t="s">
        <v>16</v>
      </c>
      <c r="K975" s="0" t="s">
        <v>1049</v>
      </c>
    </row>
    <row r="976" customFormat="false" ht="12.8" hidden="false" customHeight="false" outlineLevel="0" collapsed="false">
      <c r="A976" s="57" t="n">
        <v>46275</v>
      </c>
      <c r="B976" s="0" t="s">
        <v>1070</v>
      </c>
      <c r="C976" s="0" t="s">
        <v>17</v>
      </c>
      <c r="D976" s="0" t="s">
        <v>64</v>
      </c>
      <c r="E976" s="58" t="str">
        <f aca="false">VLOOKUP(D976,Models!$A$2:$B$13,2,0)</f>
        <v>32-inch Smart TV</v>
      </c>
      <c r="F976" s="0" t="s">
        <v>83</v>
      </c>
      <c r="G976" s="58" t="str">
        <f aca="false">VLOOKUP(F976,Countries!$A$2:$B$11,2,0)</f>
        <v>United Arab Emirates</v>
      </c>
      <c r="H976" s="13" t="n">
        <v>30</v>
      </c>
      <c r="I976" s="13" t="n">
        <v>138000</v>
      </c>
      <c r="J976" s="0" t="s">
        <v>16</v>
      </c>
      <c r="K976" s="0" t="s">
        <v>1049</v>
      </c>
    </row>
    <row r="977" customFormat="false" ht="12.8" hidden="false" customHeight="false" outlineLevel="0" collapsed="false">
      <c r="A977" s="57" t="n">
        <v>46275</v>
      </c>
      <c r="B977" s="0" t="s">
        <v>1071</v>
      </c>
      <c r="C977" s="0" t="s">
        <v>17</v>
      </c>
      <c r="D977" s="0" t="s">
        <v>85</v>
      </c>
      <c r="E977" s="58" t="str">
        <f aca="false">VLOOKUP(D977,Models!$A$2:$B$13,2,0)</f>
        <v>75-inch 4K TV</v>
      </c>
      <c r="F977" s="0" t="s">
        <v>69</v>
      </c>
      <c r="G977" s="58" t="str">
        <f aca="false">VLOOKUP(F977,Countries!$A$2:$B$11,2,0)</f>
        <v>Egypt</v>
      </c>
      <c r="H977" s="13" t="n">
        <v>9</v>
      </c>
      <c r="I977" s="13" t="n">
        <v>280800</v>
      </c>
      <c r="J977" s="0" t="s">
        <v>16</v>
      </c>
      <c r="K977" s="0" t="s">
        <v>1049</v>
      </c>
    </row>
    <row r="978" customFormat="false" ht="12.8" hidden="false" customHeight="false" outlineLevel="0" collapsed="false">
      <c r="A978" s="57" t="n">
        <v>46275</v>
      </c>
      <c r="B978" s="0" t="s">
        <v>1072</v>
      </c>
      <c r="C978" s="0" t="s">
        <v>17</v>
      </c>
      <c r="D978" s="0" t="s">
        <v>81</v>
      </c>
      <c r="E978" s="58" t="str">
        <f aca="false">VLOOKUP(D978,Models!$A$2:$B$13,2,0)</f>
        <v>43-inch Smart TV</v>
      </c>
      <c r="F978" s="0" t="s">
        <v>177</v>
      </c>
      <c r="G978" s="58" t="str">
        <f aca="false">VLOOKUP(F978,Countries!$A$2:$B$11,2,0)</f>
        <v>Saudi Arabia</v>
      </c>
      <c r="H978" s="13" t="n">
        <v>27</v>
      </c>
      <c r="I978" s="13" t="n">
        <v>210600</v>
      </c>
      <c r="J978" s="0" t="s">
        <v>16</v>
      </c>
      <c r="K978" s="0" t="s">
        <v>1049</v>
      </c>
    </row>
    <row r="979" customFormat="false" ht="12.8" hidden="false" customHeight="false" outlineLevel="0" collapsed="false">
      <c r="A979" s="57" t="n">
        <v>46275</v>
      </c>
      <c r="B979" s="0" t="s">
        <v>1073</v>
      </c>
      <c r="C979" s="0" t="s">
        <v>17</v>
      </c>
      <c r="D979" s="0" t="s">
        <v>90</v>
      </c>
      <c r="E979" s="58" t="str">
        <f aca="false">VLOOKUP(D979,Models!$A$2:$B$13,2,0)</f>
        <v>55-inch 4K TV</v>
      </c>
      <c r="F979" s="0" t="s">
        <v>69</v>
      </c>
      <c r="G979" s="58" t="str">
        <f aca="false">VLOOKUP(F979,Countries!$A$2:$B$11,2,0)</f>
        <v>Egypt</v>
      </c>
      <c r="H979" s="13" t="n">
        <v>34</v>
      </c>
      <c r="I979" s="13" t="n">
        <v>418200</v>
      </c>
      <c r="J979" s="0" t="s">
        <v>16</v>
      </c>
      <c r="K979" s="0" t="s">
        <v>1049</v>
      </c>
    </row>
    <row r="980" customFormat="false" ht="12.8" hidden="false" customHeight="false" outlineLevel="0" collapsed="false">
      <c r="A980" s="57" t="n">
        <v>46275</v>
      </c>
      <c r="B980" s="0" t="s">
        <v>1074</v>
      </c>
      <c r="C980" s="0" t="s">
        <v>19</v>
      </c>
      <c r="D980" s="0" t="s">
        <v>95</v>
      </c>
      <c r="E980" s="58" t="str">
        <f aca="false">VLOOKUP(D980,Models!$A$2:$B$13,2,0)</f>
        <v>32-inch HD TV</v>
      </c>
      <c r="F980" s="0" t="s">
        <v>79</v>
      </c>
      <c r="G980" s="58" t="str">
        <f aca="false">VLOOKUP(F980,Countries!$A$2:$B$11,2,0)</f>
        <v>Iraq</v>
      </c>
      <c r="H980" s="13" t="n">
        <v>6</v>
      </c>
      <c r="I980" s="13" t="n">
        <v>23400</v>
      </c>
      <c r="J980" s="0" t="s">
        <v>16</v>
      </c>
      <c r="K980" s="0" t="s">
        <v>1049</v>
      </c>
    </row>
    <row r="981" customFormat="false" ht="12.8" hidden="false" customHeight="false" outlineLevel="0" collapsed="false">
      <c r="A981" s="57" t="n">
        <v>46275</v>
      </c>
      <c r="B981" s="0" t="s">
        <v>1075</v>
      </c>
      <c r="C981" s="0" t="s">
        <v>20</v>
      </c>
      <c r="D981" s="0" t="s">
        <v>64</v>
      </c>
      <c r="E981" s="58" t="str">
        <f aca="false">VLOOKUP(D981,Models!$A$2:$B$13,2,0)</f>
        <v>32-inch Smart TV</v>
      </c>
      <c r="F981" s="0" t="s">
        <v>69</v>
      </c>
      <c r="G981" s="58" t="str">
        <f aca="false">VLOOKUP(F981,Countries!$A$2:$B$11,2,0)</f>
        <v>Egypt</v>
      </c>
      <c r="H981" s="13" t="n">
        <v>34</v>
      </c>
      <c r="I981" s="13" t="n">
        <v>156400</v>
      </c>
      <c r="J981" s="0" t="s">
        <v>16</v>
      </c>
      <c r="K981" s="0" t="s">
        <v>1049</v>
      </c>
    </row>
    <row r="982" customFormat="false" ht="12.8" hidden="false" customHeight="false" outlineLevel="0" collapsed="false">
      <c r="A982" s="57" t="n">
        <v>46275</v>
      </c>
      <c r="B982" s="0" t="s">
        <v>1076</v>
      </c>
      <c r="C982" s="0" t="s">
        <v>21</v>
      </c>
      <c r="D982" s="0" t="s">
        <v>95</v>
      </c>
      <c r="E982" s="58" t="str">
        <f aca="false">VLOOKUP(D982,Models!$A$2:$B$13,2,0)</f>
        <v>32-inch HD TV</v>
      </c>
      <c r="F982" s="0" t="s">
        <v>101</v>
      </c>
      <c r="G982" s="58" t="str">
        <f aca="false">VLOOKUP(F982,Countries!$A$2:$B$11,2,0)</f>
        <v>Kuwait</v>
      </c>
      <c r="H982" s="13" t="n">
        <v>62</v>
      </c>
      <c r="I982" s="13" t="n">
        <v>241800</v>
      </c>
      <c r="J982" s="0" t="s">
        <v>16</v>
      </c>
      <c r="K982" s="0" t="s">
        <v>1049</v>
      </c>
    </row>
    <row r="983" customFormat="false" ht="12.8" hidden="false" customHeight="false" outlineLevel="0" collapsed="false">
      <c r="A983" s="57" t="n">
        <v>46275</v>
      </c>
      <c r="B983" s="0" t="s">
        <v>1077</v>
      </c>
      <c r="C983" s="0" t="s">
        <v>21</v>
      </c>
      <c r="D983" s="0" t="s">
        <v>88</v>
      </c>
      <c r="E983" s="58" t="str">
        <f aca="false">VLOOKUP(D983,Models!$A$2:$B$13,2,0)</f>
        <v>24-inch HD TV</v>
      </c>
      <c r="F983" s="0" t="s">
        <v>69</v>
      </c>
      <c r="G983" s="58" t="str">
        <f aca="false">VLOOKUP(F983,Countries!$A$2:$B$11,2,0)</f>
        <v>Egypt</v>
      </c>
      <c r="H983" s="13" t="n">
        <v>38</v>
      </c>
      <c r="I983" s="13" t="n">
        <v>110200</v>
      </c>
      <c r="J983" s="0" t="s">
        <v>16</v>
      </c>
      <c r="K983" s="0" t="s">
        <v>1049</v>
      </c>
    </row>
    <row r="984" customFormat="false" ht="12.8" hidden="false" customHeight="false" outlineLevel="0" collapsed="false">
      <c r="A984" s="57" t="n">
        <v>46275</v>
      </c>
      <c r="B984" s="0" t="s">
        <v>1078</v>
      </c>
      <c r="C984" s="0" t="s">
        <v>21</v>
      </c>
      <c r="D984" s="0" t="s">
        <v>92</v>
      </c>
      <c r="E984" s="58" t="str">
        <f aca="false">VLOOKUP(D984,Models!$A$2:$B$13,2,0)</f>
        <v>65-inch 4K TV</v>
      </c>
      <c r="F984" s="0" t="s">
        <v>72</v>
      </c>
      <c r="G984" s="58" t="str">
        <f aca="false">VLOOKUP(F984,Countries!$A$2:$B$11,2,0)</f>
        <v>Kenya</v>
      </c>
      <c r="H984" s="13" t="n">
        <v>22</v>
      </c>
      <c r="I984" s="13" t="n">
        <v>435600</v>
      </c>
      <c r="J984" s="0" t="s">
        <v>16</v>
      </c>
      <c r="K984" s="0" t="s">
        <v>1049</v>
      </c>
    </row>
    <row r="985" customFormat="false" ht="12.8" hidden="false" customHeight="false" outlineLevel="0" collapsed="false">
      <c r="A985" s="57" t="n">
        <v>46277</v>
      </c>
      <c r="B985" s="0" t="s">
        <v>1079</v>
      </c>
      <c r="C985" s="0" t="s">
        <v>13</v>
      </c>
      <c r="D985" s="0" t="s">
        <v>92</v>
      </c>
      <c r="E985" s="58" t="str">
        <f aca="false">VLOOKUP(D985,Models!$A$2:$B$13,2,0)</f>
        <v>65-inch 4K TV</v>
      </c>
      <c r="F985" s="0" t="s">
        <v>83</v>
      </c>
      <c r="G985" s="58" t="str">
        <f aca="false">VLOOKUP(F985,Countries!$A$2:$B$11,2,0)</f>
        <v>United Arab Emirates</v>
      </c>
      <c r="H985" s="13" t="n">
        <v>22</v>
      </c>
      <c r="I985" s="13" t="n">
        <v>435600</v>
      </c>
      <c r="J985" s="0" t="s">
        <v>16</v>
      </c>
      <c r="K985" s="0" t="s">
        <v>1049</v>
      </c>
    </row>
    <row r="986" customFormat="false" ht="12.8" hidden="false" customHeight="false" outlineLevel="0" collapsed="false">
      <c r="A986" s="57" t="n">
        <v>46277</v>
      </c>
      <c r="B986" s="0" t="s">
        <v>1080</v>
      </c>
      <c r="C986" s="0" t="s">
        <v>13</v>
      </c>
      <c r="D986" s="0" t="s">
        <v>81</v>
      </c>
      <c r="E986" s="58" t="str">
        <f aca="false">VLOOKUP(D986,Models!$A$2:$B$13,2,0)</f>
        <v>43-inch Smart TV</v>
      </c>
      <c r="F986" s="0" t="s">
        <v>83</v>
      </c>
      <c r="G986" s="58" t="str">
        <f aca="false">VLOOKUP(F986,Countries!$A$2:$B$11,2,0)</f>
        <v>United Arab Emirates</v>
      </c>
      <c r="H986" s="13" t="n">
        <v>6</v>
      </c>
      <c r="I986" s="13" t="n">
        <v>46800</v>
      </c>
      <c r="J986" s="0" t="s">
        <v>16</v>
      </c>
      <c r="K986" s="0" t="s">
        <v>1049</v>
      </c>
    </row>
    <row r="987" customFormat="false" ht="12.8" hidden="false" customHeight="false" outlineLevel="0" collapsed="false">
      <c r="A987" s="57" t="n">
        <v>46277</v>
      </c>
      <c r="B987" s="0" t="s">
        <v>1081</v>
      </c>
      <c r="C987" s="0" t="s">
        <v>13</v>
      </c>
      <c r="D987" s="0" t="s">
        <v>90</v>
      </c>
      <c r="E987" s="58" t="str">
        <f aca="false">VLOOKUP(D987,Models!$A$2:$B$13,2,0)</f>
        <v>55-inch 4K TV</v>
      </c>
      <c r="F987" s="0" t="s">
        <v>69</v>
      </c>
      <c r="G987" s="58" t="str">
        <f aca="false">VLOOKUP(F987,Countries!$A$2:$B$11,2,0)</f>
        <v>Egypt</v>
      </c>
      <c r="H987" s="13" t="n">
        <v>32</v>
      </c>
      <c r="I987" s="13" t="n">
        <v>393600</v>
      </c>
      <c r="J987" s="0" t="s">
        <v>16</v>
      </c>
      <c r="K987" s="0" t="s">
        <v>1049</v>
      </c>
    </row>
    <row r="988" customFormat="false" ht="12.8" hidden="false" customHeight="false" outlineLevel="0" collapsed="false">
      <c r="A988" s="57" t="n">
        <v>46277</v>
      </c>
      <c r="B988" s="0" t="s">
        <v>1082</v>
      </c>
      <c r="C988" s="0" t="s">
        <v>13</v>
      </c>
      <c r="D988" s="0" t="s">
        <v>68</v>
      </c>
      <c r="E988" s="58" t="str">
        <f aca="false">VLOOKUP(D988,Models!$A$2:$B$13,2,0)</f>
        <v>50-inch 4K TV</v>
      </c>
      <c r="F988" s="0" t="s">
        <v>75</v>
      </c>
      <c r="G988" s="58" t="str">
        <f aca="false">VLOOKUP(F988,Countries!$A$2:$B$11,2,0)</f>
        <v>Nigeria</v>
      </c>
      <c r="H988" s="13" t="n">
        <v>28</v>
      </c>
      <c r="I988" s="13" t="n">
        <v>291200</v>
      </c>
      <c r="J988" s="0" t="s">
        <v>16</v>
      </c>
      <c r="K988" s="0" t="s">
        <v>1049</v>
      </c>
    </row>
    <row r="989" customFormat="false" ht="12.8" hidden="false" customHeight="false" outlineLevel="0" collapsed="false">
      <c r="A989" s="57" t="n">
        <v>46277</v>
      </c>
      <c r="B989" s="0" t="s">
        <v>1083</v>
      </c>
      <c r="C989" s="0" t="s">
        <v>13</v>
      </c>
      <c r="D989" s="0" t="s">
        <v>77</v>
      </c>
      <c r="E989" s="58" t="str">
        <f aca="false">VLOOKUP(D989,Models!$A$2:$B$13,2,0)</f>
        <v>65-inch QLED TV</v>
      </c>
      <c r="F989" s="0" t="s">
        <v>101</v>
      </c>
      <c r="G989" s="58" t="str">
        <f aca="false">VLOOKUP(F989,Countries!$A$2:$B$11,2,0)</f>
        <v>Kuwait</v>
      </c>
      <c r="H989" s="13" t="n">
        <v>20</v>
      </c>
      <c r="I989" s="13" t="n">
        <v>490000</v>
      </c>
      <c r="J989" s="0" t="s">
        <v>16</v>
      </c>
      <c r="K989" s="0" t="s">
        <v>1049</v>
      </c>
    </row>
    <row r="990" customFormat="false" ht="12.8" hidden="false" customHeight="false" outlineLevel="0" collapsed="false">
      <c r="A990" s="57" t="n">
        <v>46277</v>
      </c>
      <c r="B990" s="0" t="s">
        <v>1084</v>
      </c>
      <c r="C990" s="0" t="s">
        <v>13</v>
      </c>
      <c r="D990" s="0" t="s">
        <v>92</v>
      </c>
      <c r="E990" s="58" t="str">
        <f aca="false">VLOOKUP(D990,Models!$A$2:$B$13,2,0)</f>
        <v>65-inch 4K TV</v>
      </c>
      <c r="F990" s="0" t="s">
        <v>69</v>
      </c>
      <c r="G990" s="58" t="str">
        <f aca="false">VLOOKUP(F990,Countries!$A$2:$B$11,2,0)</f>
        <v>Egypt</v>
      </c>
      <c r="H990" s="13" t="n">
        <v>17</v>
      </c>
      <c r="I990" s="13" t="n">
        <v>336600</v>
      </c>
      <c r="J990" s="0" t="s">
        <v>16</v>
      </c>
      <c r="K990" s="0" t="s">
        <v>1049</v>
      </c>
    </row>
    <row r="991" customFormat="false" ht="12.8" hidden="false" customHeight="false" outlineLevel="0" collapsed="false">
      <c r="A991" s="57" t="n">
        <v>46277</v>
      </c>
      <c r="B991" s="0" t="s">
        <v>1085</v>
      </c>
      <c r="C991" s="0" t="s">
        <v>15</v>
      </c>
      <c r="D991" s="0" t="s">
        <v>68</v>
      </c>
      <c r="E991" s="58" t="str">
        <f aca="false">VLOOKUP(D991,Models!$A$2:$B$13,2,0)</f>
        <v>50-inch 4K TV</v>
      </c>
      <c r="F991" s="0" t="s">
        <v>69</v>
      </c>
      <c r="G991" s="58" t="str">
        <f aca="false">VLOOKUP(F991,Countries!$A$2:$B$11,2,0)</f>
        <v>Egypt</v>
      </c>
      <c r="H991" s="13" t="n">
        <v>8</v>
      </c>
      <c r="I991" s="13" t="n">
        <v>83200</v>
      </c>
      <c r="J991" s="0" t="s">
        <v>16</v>
      </c>
      <c r="K991" s="0" t="s">
        <v>1049</v>
      </c>
    </row>
    <row r="992" customFormat="false" ht="12.8" hidden="false" customHeight="false" outlineLevel="0" collapsed="false">
      <c r="A992" s="57" t="n">
        <v>46277</v>
      </c>
      <c r="B992" s="0" t="s">
        <v>1086</v>
      </c>
      <c r="C992" s="0" t="s">
        <v>15</v>
      </c>
      <c r="D992" s="0" t="s">
        <v>109</v>
      </c>
      <c r="E992" s="58" t="str">
        <f aca="false">VLOOKUP(D992,Models!$A$2:$B$13,2,0)</f>
        <v>55-inch QLED TV</v>
      </c>
      <c r="F992" s="0" t="s">
        <v>75</v>
      </c>
      <c r="G992" s="58" t="str">
        <f aca="false">VLOOKUP(F992,Countries!$A$2:$B$11,2,0)</f>
        <v>Nigeria</v>
      </c>
      <c r="H992" s="13" t="n">
        <v>7</v>
      </c>
      <c r="I992" s="13" t="n">
        <v>109200</v>
      </c>
      <c r="J992" s="0" t="s">
        <v>16</v>
      </c>
      <c r="K992" s="0" t="s">
        <v>1049</v>
      </c>
    </row>
    <row r="993" customFormat="false" ht="12.8" hidden="false" customHeight="false" outlineLevel="0" collapsed="false">
      <c r="A993" s="57" t="n">
        <v>46277</v>
      </c>
      <c r="B993" s="0" t="s">
        <v>1087</v>
      </c>
      <c r="C993" s="0" t="s">
        <v>15</v>
      </c>
      <c r="D993" s="0" t="s">
        <v>77</v>
      </c>
      <c r="E993" s="58" t="str">
        <f aca="false">VLOOKUP(D993,Models!$A$2:$B$13,2,0)</f>
        <v>65-inch QLED TV</v>
      </c>
      <c r="F993" s="0" t="s">
        <v>103</v>
      </c>
      <c r="G993" s="58" t="str">
        <f aca="false">VLOOKUP(F993,Countries!$A$2:$B$11,2,0)</f>
        <v>Morocco</v>
      </c>
      <c r="H993" s="13" t="n">
        <v>17</v>
      </c>
      <c r="I993" s="13" t="n">
        <v>416500</v>
      </c>
      <c r="J993" s="0" t="s">
        <v>16</v>
      </c>
      <c r="K993" s="0" t="s">
        <v>1049</v>
      </c>
    </row>
    <row r="994" customFormat="false" ht="12.8" hidden="false" customHeight="false" outlineLevel="0" collapsed="false">
      <c r="A994" s="57" t="n">
        <v>46277</v>
      </c>
      <c r="B994" s="0" t="s">
        <v>1088</v>
      </c>
      <c r="C994" s="0" t="s">
        <v>15</v>
      </c>
      <c r="D994" s="0" t="s">
        <v>81</v>
      </c>
      <c r="E994" s="58" t="str">
        <f aca="false">VLOOKUP(D994,Models!$A$2:$B$13,2,0)</f>
        <v>43-inch Smart TV</v>
      </c>
      <c r="F994" s="0" t="s">
        <v>69</v>
      </c>
      <c r="G994" s="58" t="str">
        <f aca="false">VLOOKUP(F994,Countries!$A$2:$B$11,2,0)</f>
        <v>Egypt</v>
      </c>
      <c r="H994" s="13" t="n">
        <v>16</v>
      </c>
      <c r="I994" s="13" t="n">
        <v>124800</v>
      </c>
      <c r="J994" s="0" t="s">
        <v>16</v>
      </c>
      <c r="K994" s="0" t="s">
        <v>1049</v>
      </c>
    </row>
    <row r="995" customFormat="false" ht="12.8" hidden="false" customHeight="false" outlineLevel="0" collapsed="false">
      <c r="A995" s="57" t="n">
        <v>46277</v>
      </c>
      <c r="B995" s="0" t="s">
        <v>1089</v>
      </c>
      <c r="C995" s="0" t="s">
        <v>17</v>
      </c>
      <c r="D995" s="0" t="s">
        <v>74</v>
      </c>
      <c r="E995" s="58" t="str">
        <f aca="false">VLOOKUP(D995,Models!$A$2:$B$13,2,0)</f>
        <v>40-inch Full HD TV</v>
      </c>
      <c r="F995" s="0" t="s">
        <v>72</v>
      </c>
      <c r="G995" s="58" t="str">
        <f aca="false">VLOOKUP(F995,Countries!$A$2:$B$11,2,0)</f>
        <v>Kenya</v>
      </c>
      <c r="H995" s="13" t="n">
        <v>34</v>
      </c>
      <c r="I995" s="13" t="n">
        <v>210800</v>
      </c>
      <c r="J995" s="0" t="s">
        <v>16</v>
      </c>
      <c r="K995" s="0" t="s">
        <v>1049</v>
      </c>
    </row>
    <row r="996" customFormat="false" ht="12.8" hidden="false" customHeight="false" outlineLevel="0" collapsed="false">
      <c r="A996" s="57" t="n">
        <v>46277</v>
      </c>
      <c r="B996" s="0" t="s">
        <v>1090</v>
      </c>
      <c r="C996" s="0" t="s">
        <v>17</v>
      </c>
      <c r="D996" s="0" t="s">
        <v>68</v>
      </c>
      <c r="E996" s="58" t="str">
        <f aca="false">VLOOKUP(D996,Models!$A$2:$B$13,2,0)</f>
        <v>50-inch 4K TV</v>
      </c>
      <c r="F996" s="0" t="s">
        <v>69</v>
      </c>
      <c r="G996" s="58" t="str">
        <f aca="false">VLOOKUP(F996,Countries!$A$2:$B$11,2,0)</f>
        <v>Egypt</v>
      </c>
      <c r="H996" s="13" t="n">
        <v>5</v>
      </c>
      <c r="I996" s="13" t="n">
        <v>52000</v>
      </c>
      <c r="J996" s="0" t="s">
        <v>16</v>
      </c>
      <c r="K996" s="0" t="s">
        <v>1049</v>
      </c>
    </row>
    <row r="997" customFormat="false" ht="12.8" hidden="false" customHeight="false" outlineLevel="0" collapsed="false">
      <c r="A997" s="57" t="n">
        <v>46277</v>
      </c>
      <c r="B997" s="0" t="s">
        <v>1091</v>
      </c>
      <c r="C997" s="0" t="s">
        <v>17</v>
      </c>
      <c r="D997" s="0" t="s">
        <v>74</v>
      </c>
      <c r="E997" s="58" t="str">
        <f aca="false">VLOOKUP(D997,Models!$A$2:$B$13,2,0)</f>
        <v>40-inch Full HD TV</v>
      </c>
      <c r="F997" s="0" t="s">
        <v>101</v>
      </c>
      <c r="G997" s="58" t="str">
        <f aca="false">VLOOKUP(F997,Countries!$A$2:$B$11,2,0)</f>
        <v>Kuwait</v>
      </c>
      <c r="H997" s="13" t="n">
        <v>43</v>
      </c>
      <c r="I997" s="13" t="n">
        <v>266600</v>
      </c>
      <c r="J997" s="0" t="s">
        <v>16</v>
      </c>
      <c r="K997" s="0" t="s">
        <v>1049</v>
      </c>
    </row>
    <row r="998" customFormat="false" ht="12.8" hidden="false" customHeight="false" outlineLevel="0" collapsed="false">
      <c r="A998" s="57" t="n">
        <v>46277</v>
      </c>
      <c r="B998" s="0" t="s">
        <v>1092</v>
      </c>
      <c r="C998" s="0" t="s">
        <v>19</v>
      </c>
      <c r="D998" s="0" t="s">
        <v>68</v>
      </c>
      <c r="E998" s="58" t="str">
        <f aca="false">VLOOKUP(D998,Models!$A$2:$B$13,2,0)</f>
        <v>50-inch 4K TV</v>
      </c>
      <c r="F998" s="0" t="s">
        <v>69</v>
      </c>
      <c r="G998" s="58" t="str">
        <f aca="false">VLOOKUP(F998,Countries!$A$2:$B$11,2,0)</f>
        <v>Egypt</v>
      </c>
      <c r="H998" s="13" t="n">
        <v>7</v>
      </c>
      <c r="I998" s="13" t="n">
        <v>72800</v>
      </c>
      <c r="J998" s="0" t="s">
        <v>16</v>
      </c>
      <c r="K998" s="0" t="s">
        <v>1049</v>
      </c>
    </row>
    <row r="999" customFormat="false" ht="12.8" hidden="false" customHeight="false" outlineLevel="0" collapsed="false">
      <c r="A999" s="57" t="n">
        <v>46277</v>
      </c>
      <c r="B999" s="0" t="s">
        <v>1093</v>
      </c>
      <c r="C999" s="0" t="s">
        <v>19</v>
      </c>
      <c r="D999" s="0" t="s">
        <v>68</v>
      </c>
      <c r="E999" s="58" t="str">
        <f aca="false">VLOOKUP(D999,Models!$A$2:$B$13,2,0)</f>
        <v>50-inch 4K TV</v>
      </c>
      <c r="F999" s="0" t="s">
        <v>69</v>
      </c>
      <c r="G999" s="58" t="str">
        <f aca="false">VLOOKUP(F999,Countries!$A$2:$B$11,2,0)</f>
        <v>Egypt</v>
      </c>
      <c r="H999" s="13" t="n">
        <v>15</v>
      </c>
      <c r="I999" s="13" t="n">
        <v>156000</v>
      </c>
      <c r="J999" s="0" t="s">
        <v>16</v>
      </c>
      <c r="K999" s="0" t="s">
        <v>1049</v>
      </c>
    </row>
    <row r="1000" customFormat="false" ht="12.8" hidden="false" customHeight="false" outlineLevel="0" collapsed="false">
      <c r="A1000" s="57" t="n">
        <v>46277</v>
      </c>
      <c r="B1000" s="0" t="s">
        <v>1094</v>
      </c>
      <c r="C1000" s="0" t="s">
        <v>19</v>
      </c>
      <c r="D1000" s="0" t="s">
        <v>81</v>
      </c>
      <c r="E1000" s="58" t="str">
        <f aca="false">VLOOKUP(D1000,Models!$A$2:$B$13,2,0)</f>
        <v>43-inch Smart TV</v>
      </c>
      <c r="F1000" s="0" t="s">
        <v>79</v>
      </c>
      <c r="G1000" s="58" t="str">
        <f aca="false">VLOOKUP(F1000,Countries!$A$2:$B$11,2,0)</f>
        <v>Iraq</v>
      </c>
      <c r="H1000" s="13" t="n">
        <v>16</v>
      </c>
      <c r="I1000" s="13" t="n">
        <v>124800</v>
      </c>
      <c r="J1000" s="0" t="s">
        <v>16</v>
      </c>
      <c r="K1000" s="0" t="s">
        <v>1049</v>
      </c>
    </row>
    <row r="1001" customFormat="false" ht="12.8" hidden="false" customHeight="false" outlineLevel="0" collapsed="false">
      <c r="A1001" s="57" t="n">
        <v>46277</v>
      </c>
      <c r="B1001" s="0" t="s">
        <v>1095</v>
      </c>
      <c r="C1001" s="0" t="s">
        <v>19</v>
      </c>
      <c r="D1001" s="0" t="s">
        <v>109</v>
      </c>
      <c r="E1001" s="58" t="str">
        <f aca="false">VLOOKUP(D1001,Models!$A$2:$B$13,2,0)</f>
        <v>55-inch QLED TV</v>
      </c>
      <c r="F1001" s="0" t="s">
        <v>83</v>
      </c>
      <c r="G1001" s="58" t="str">
        <f aca="false">VLOOKUP(F1001,Countries!$A$2:$B$11,2,0)</f>
        <v>United Arab Emirates</v>
      </c>
      <c r="H1001" s="13" t="n">
        <v>16</v>
      </c>
      <c r="I1001" s="13" t="n">
        <v>249600</v>
      </c>
      <c r="J1001" s="0" t="s">
        <v>16</v>
      </c>
      <c r="K1001" s="0" t="s">
        <v>1049</v>
      </c>
    </row>
    <row r="1002" customFormat="false" ht="12.8" hidden="false" customHeight="false" outlineLevel="0" collapsed="false">
      <c r="A1002" s="57" t="n">
        <v>46277</v>
      </c>
      <c r="B1002" s="0" t="s">
        <v>1096</v>
      </c>
      <c r="C1002" s="0" t="s">
        <v>20</v>
      </c>
      <c r="D1002" s="0" t="s">
        <v>90</v>
      </c>
      <c r="E1002" s="58" t="str">
        <f aca="false">VLOOKUP(D1002,Models!$A$2:$B$13,2,0)</f>
        <v>55-inch 4K TV</v>
      </c>
      <c r="F1002" s="0" t="s">
        <v>69</v>
      </c>
      <c r="G1002" s="58" t="str">
        <f aca="false">VLOOKUP(F1002,Countries!$A$2:$B$11,2,0)</f>
        <v>Egypt</v>
      </c>
      <c r="H1002" s="13" t="n">
        <v>22</v>
      </c>
      <c r="I1002" s="13" t="n">
        <v>270600</v>
      </c>
      <c r="J1002" s="0" t="s">
        <v>16</v>
      </c>
      <c r="K1002" s="0" t="s">
        <v>1049</v>
      </c>
    </row>
    <row r="1003" customFormat="false" ht="12.8" hidden="false" customHeight="false" outlineLevel="0" collapsed="false">
      <c r="A1003" s="57" t="n">
        <v>46277</v>
      </c>
      <c r="B1003" s="0" t="s">
        <v>1097</v>
      </c>
      <c r="C1003" s="0" t="s">
        <v>21</v>
      </c>
      <c r="D1003" s="0" t="s">
        <v>85</v>
      </c>
      <c r="E1003" s="58" t="str">
        <f aca="false">VLOOKUP(D1003,Models!$A$2:$B$13,2,0)</f>
        <v>75-inch 4K TV</v>
      </c>
      <c r="F1003" s="0" t="s">
        <v>103</v>
      </c>
      <c r="G1003" s="58" t="str">
        <f aca="false">VLOOKUP(F1003,Countries!$A$2:$B$11,2,0)</f>
        <v>Morocco</v>
      </c>
      <c r="H1003" s="13" t="n">
        <v>9</v>
      </c>
      <c r="I1003" s="13" t="n">
        <v>280800</v>
      </c>
      <c r="J1003" s="0" t="s">
        <v>16</v>
      </c>
      <c r="K1003" s="0" t="s">
        <v>1049</v>
      </c>
    </row>
    <row r="1004" customFormat="false" ht="12.8" hidden="false" customHeight="false" outlineLevel="0" collapsed="false">
      <c r="A1004" s="57" t="n">
        <v>46277</v>
      </c>
      <c r="B1004" s="0" t="s">
        <v>1098</v>
      </c>
      <c r="C1004" s="0" t="s">
        <v>21</v>
      </c>
      <c r="D1004" s="0" t="s">
        <v>81</v>
      </c>
      <c r="E1004" s="58" t="str">
        <f aca="false">VLOOKUP(D1004,Models!$A$2:$B$13,2,0)</f>
        <v>43-inch Smart TV</v>
      </c>
      <c r="F1004" s="0" t="s">
        <v>69</v>
      </c>
      <c r="G1004" s="58" t="str">
        <f aca="false">VLOOKUP(F1004,Countries!$A$2:$B$11,2,0)</f>
        <v>Egypt</v>
      </c>
      <c r="H1004" s="13" t="n">
        <v>28</v>
      </c>
      <c r="I1004" s="13" t="n">
        <v>218400</v>
      </c>
      <c r="J1004" s="0" t="s">
        <v>16</v>
      </c>
      <c r="K1004" s="0" t="s">
        <v>1049</v>
      </c>
    </row>
    <row r="1005" customFormat="false" ht="12.8" hidden="false" customHeight="false" outlineLevel="0" collapsed="false">
      <c r="A1005" s="57" t="n">
        <v>46278</v>
      </c>
      <c r="B1005" s="0" t="s">
        <v>1099</v>
      </c>
      <c r="C1005" s="0" t="s">
        <v>13</v>
      </c>
      <c r="D1005" s="0" t="s">
        <v>77</v>
      </c>
      <c r="E1005" s="58" t="str">
        <f aca="false">VLOOKUP(D1005,Models!$A$2:$B$13,2,0)</f>
        <v>65-inch QLED TV</v>
      </c>
      <c r="F1005" s="0" t="s">
        <v>69</v>
      </c>
      <c r="G1005" s="58" t="str">
        <f aca="false">VLOOKUP(F1005,Countries!$A$2:$B$11,2,0)</f>
        <v>Egypt</v>
      </c>
      <c r="H1005" s="13" t="n">
        <v>22</v>
      </c>
      <c r="I1005" s="13" t="n">
        <v>539000</v>
      </c>
      <c r="J1005" s="0" t="s">
        <v>16</v>
      </c>
      <c r="K1005" s="0" t="s">
        <v>1049</v>
      </c>
    </row>
    <row r="1006" customFormat="false" ht="12.8" hidden="false" customHeight="false" outlineLevel="0" collapsed="false">
      <c r="A1006" s="57" t="n">
        <v>46278</v>
      </c>
      <c r="B1006" s="0" t="s">
        <v>1100</v>
      </c>
      <c r="C1006" s="0" t="s">
        <v>13</v>
      </c>
      <c r="D1006" s="0" t="s">
        <v>85</v>
      </c>
      <c r="E1006" s="58" t="str">
        <f aca="false">VLOOKUP(D1006,Models!$A$2:$B$13,2,0)</f>
        <v>75-inch 4K TV</v>
      </c>
      <c r="F1006" s="0" t="s">
        <v>69</v>
      </c>
      <c r="G1006" s="58" t="str">
        <f aca="false">VLOOKUP(F1006,Countries!$A$2:$B$11,2,0)</f>
        <v>Egypt</v>
      </c>
      <c r="H1006" s="13" t="n">
        <v>6</v>
      </c>
      <c r="I1006" s="13" t="n">
        <v>187200</v>
      </c>
      <c r="J1006" s="0" t="s">
        <v>16</v>
      </c>
      <c r="K1006" s="0" t="s">
        <v>1049</v>
      </c>
    </row>
    <row r="1007" customFormat="false" ht="12.8" hidden="false" customHeight="false" outlineLevel="0" collapsed="false">
      <c r="A1007" s="57" t="n">
        <v>46278</v>
      </c>
      <c r="B1007" s="0" t="s">
        <v>1101</v>
      </c>
      <c r="C1007" s="0" t="s">
        <v>13</v>
      </c>
      <c r="D1007" s="0" t="s">
        <v>64</v>
      </c>
      <c r="E1007" s="58" t="str">
        <f aca="false">VLOOKUP(D1007,Models!$A$2:$B$13,2,0)</f>
        <v>32-inch Smart TV</v>
      </c>
      <c r="F1007" s="0" t="s">
        <v>69</v>
      </c>
      <c r="G1007" s="58" t="str">
        <f aca="false">VLOOKUP(F1007,Countries!$A$2:$B$11,2,0)</f>
        <v>Egypt</v>
      </c>
      <c r="H1007" s="13" t="n">
        <v>32</v>
      </c>
      <c r="I1007" s="13" t="n">
        <v>147200</v>
      </c>
      <c r="J1007" s="0" t="s">
        <v>16</v>
      </c>
      <c r="K1007" s="0" t="s">
        <v>1049</v>
      </c>
    </row>
    <row r="1008" customFormat="false" ht="12.8" hidden="false" customHeight="false" outlineLevel="0" collapsed="false">
      <c r="A1008" s="57" t="n">
        <v>46278</v>
      </c>
      <c r="B1008" s="0" t="s">
        <v>1102</v>
      </c>
      <c r="C1008" s="0" t="s">
        <v>13</v>
      </c>
      <c r="D1008" s="0" t="s">
        <v>85</v>
      </c>
      <c r="E1008" s="58" t="str">
        <f aca="false">VLOOKUP(D1008,Models!$A$2:$B$13,2,0)</f>
        <v>75-inch 4K TV</v>
      </c>
      <c r="F1008" s="0" t="s">
        <v>69</v>
      </c>
      <c r="G1008" s="58" t="str">
        <f aca="false">VLOOKUP(F1008,Countries!$A$2:$B$11,2,0)</f>
        <v>Egypt</v>
      </c>
      <c r="H1008" s="13" t="n">
        <v>9</v>
      </c>
      <c r="I1008" s="13" t="n">
        <v>280800</v>
      </c>
      <c r="J1008" s="0" t="s">
        <v>16</v>
      </c>
      <c r="K1008" s="0" t="s">
        <v>1049</v>
      </c>
    </row>
    <row r="1009" customFormat="false" ht="12.8" hidden="false" customHeight="false" outlineLevel="0" collapsed="false">
      <c r="A1009" s="57" t="n">
        <v>46278</v>
      </c>
      <c r="B1009" s="0" t="s">
        <v>1103</v>
      </c>
      <c r="C1009" s="0" t="s">
        <v>15</v>
      </c>
      <c r="D1009" s="0" t="s">
        <v>74</v>
      </c>
      <c r="E1009" s="58" t="str">
        <f aca="false">VLOOKUP(D1009,Models!$A$2:$B$13,2,0)</f>
        <v>40-inch Full HD TV</v>
      </c>
      <c r="F1009" s="0" t="s">
        <v>72</v>
      </c>
      <c r="G1009" s="58" t="str">
        <f aca="false">VLOOKUP(F1009,Countries!$A$2:$B$11,2,0)</f>
        <v>Kenya</v>
      </c>
      <c r="H1009" s="13" t="n">
        <v>10</v>
      </c>
      <c r="I1009" s="13" t="n">
        <v>62000</v>
      </c>
      <c r="J1009" s="0" t="s">
        <v>16</v>
      </c>
      <c r="K1009" s="0" t="s">
        <v>1049</v>
      </c>
    </row>
    <row r="1010" customFormat="false" ht="12.8" hidden="false" customHeight="false" outlineLevel="0" collapsed="false">
      <c r="A1010" s="57" t="n">
        <v>46278</v>
      </c>
      <c r="B1010" s="0" t="s">
        <v>1104</v>
      </c>
      <c r="C1010" s="0" t="s">
        <v>17</v>
      </c>
      <c r="D1010" s="0" t="s">
        <v>92</v>
      </c>
      <c r="E1010" s="58" t="str">
        <f aca="false">VLOOKUP(D1010,Models!$A$2:$B$13,2,0)</f>
        <v>65-inch 4K TV</v>
      </c>
      <c r="F1010" s="0" t="s">
        <v>69</v>
      </c>
      <c r="G1010" s="58" t="str">
        <f aca="false">VLOOKUP(F1010,Countries!$A$2:$B$11,2,0)</f>
        <v>Egypt</v>
      </c>
      <c r="H1010" s="13" t="n">
        <v>7</v>
      </c>
      <c r="I1010" s="13" t="n">
        <v>138600</v>
      </c>
      <c r="J1010" s="0" t="s">
        <v>16</v>
      </c>
      <c r="K1010" s="0" t="s">
        <v>1049</v>
      </c>
    </row>
    <row r="1011" customFormat="false" ht="12.8" hidden="false" customHeight="false" outlineLevel="0" collapsed="false">
      <c r="A1011" s="57" t="n">
        <v>46278</v>
      </c>
      <c r="B1011" s="0" t="s">
        <v>1105</v>
      </c>
      <c r="C1011" s="0" t="s">
        <v>17</v>
      </c>
      <c r="D1011" s="0" t="s">
        <v>74</v>
      </c>
      <c r="E1011" s="58" t="str">
        <f aca="false">VLOOKUP(D1011,Models!$A$2:$B$13,2,0)</f>
        <v>40-inch Full HD TV</v>
      </c>
      <c r="F1011" s="0" t="s">
        <v>69</v>
      </c>
      <c r="G1011" s="58" t="str">
        <f aca="false">VLOOKUP(F1011,Countries!$A$2:$B$11,2,0)</f>
        <v>Egypt</v>
      </c>
      <c r="H1011" s="13" t="n">
        <v>39</v>
      </c>
      <c r="I1011" s="13" t="n">
        <v>241800</v>
      </c>
      <c r="J1011" s="0" t="s">
        <v>16</v>
      </c>
      <c r="K1011" s="0" t="s">
        <v>1049</v>
      </c>
    </row>
    <row r="1012" customFormat="false" ht="12.8" hidden="false" customHeight="false" outlineLevel="0" collapsed="false">
      <c r="A1012" s="57" t="n">
        <v>46278</v>
      </c>
      <c r="B1012" s="0" t="s">
        <v>1106</v>
      </c>
      <c r="C1012" s="0" t="s">
        <v>17</v>
      </c>
      <c r="D1012" s="0" t="s">
        <v>77</v>
      </c>
      <c r="E1012" s="58" t="str">
        <f aca="false">VLOOKUP(D1012,Models!$A$2:$B$13,2,0)</f>
        <v>65-inch QLED TV</v>
      </c>
      <c r="F1012" s="0" t="s">
        <v>69</v>
      </c>
      <c r="G1012" s="58" t="str">
        <f aca="false">VLOOKUP(F1012,Countries!$A$2:$B$11,2,0)</f>
        <v>Egypt</v>
      </c>
      <c r="H1012" s="13" t="n">
        <v>16</v>
      </c>
      <c r="I1012" s="13" t="n">
        <v>392000</v>
      </c>
      <c r="J1012" s="0" t="s">
        <v>16</v>
      </c>
      <c r="K1012" s="0" t="s">
        <v>1049</v>
      </c>
    </row>
    <row r="1013" customFormat="false" ht="12.8" hidden="false" customHeight="false" outlineLevel="0" collapsed="false">
      <c r="A1013" s="57" t="n">
        <v>46278</v>
      </c>
      <c r="B1013" s="0" t="s">
        <v>1107</v>
      </c>
      <c r="C1013" s="0" t="s">
        <v>17</v>
      </c>
      <c r="D1013" s="0" t="s">
        <v>77</v>
      </c>
      <c r="E1013" s="58" t="str">
        <f aca="false">VLOOKUP(D1013,Models!$A$2:$B$13,2,0)</f>
        <v>65-inch QLED TV</v>
      </c>
      <c r="F1013" s="0" t="s">
        <v>69</v>
      </c>
      <c r="G1013" s="58" t="str">
        <f aca="false">VLOOKUP(F1013,Countries!$A$2:$B$11,2,0)</f>
        <v>Egypt</v>
      </c>
      <c r="H1013" s="13" t="n">
        <v>16</v>
      </c>
      <c r="I1013" s="13" t="n">
        <v>392000</v>
      </c>
      <c r="J1013" s="0" t="s">
        <v>16</v>
      </c>
      <c r="K1013" s="0" t="s">
        <v>1049</v>
      </c>
    </row>
    <row r="1014" customFormat="false" ht="12.8" hidden="false" customHeight="false" outlineLevel="0" collapsed="false">
      <c r="A1014" s="57" t="n">
        <v>46278</v>
      </c>
      <c r="B1014" s="0" t="s">
        <v>1108</v>
      </c>
      <c r="C1014" s="0" t="s">
        <v>17</v>
      </c>
      <c r="D1014" s="0" t="s">
        <v>88</v>
      </c>
      <c r="E1014" s="58" t="str">
        <f aca="false">VLOOKUP(D1014,Models!$A$2:$B$13,2,0)</f>
        <v>24-inch HD TV</v>
      </c>
      <c r="F1014" s="0" t="s">
        <v>72</v>
      </c>
      <c r="G1014" s="58" t="str">
        <f aca="false">VLOOKUP(F1014,Countries!$A$2:$B$11,2,0)</f>
        <v>Kenya</v>
      </c>
      <c r="H1014" s="13" t="n">
        <v>16</v>
      </c>
      <c r="I1014" s="13" t="n">
        <v>46400</v>
      </c>
      <c r="J1014" s="0" t="s">
        <v>16</v>
      </c>
      <c r="K1014" s="0" t="s">
        <v>1049</v>
      </c>
    </row>
    <row r="1015" customFormat="false" ht="12.8" hidden="false" customHeight="false" outlineLevel="0" collapsed="false">
      <c r="A1015" s="57" t="n">
        <v>46278</v>
      </c>
      <c r="B1015" s="0" t="s">
        <v>1109</v>
      </c>
      <c r="C1015" s="0" t="s">
        <v>19</v>
      </c>
      <c r="D1015" s="0" t="s">
        <v>90</v>
      </c>
      <c r="E1015" s="58" t="str">
        <f aca="false">VLOOKUP(D1015,Models!$A$2:$B$13,2,0)</f>
        <v>55-inch 4K TV</v>
      </c>
      <c r="F1015" s="0" t="s">
        <v>69</v>
      </c>
      <c r="G1015" s="58" t="str">
        <f aca="false">VLOOKUP(F1015,Countries!$A$2:$B$11,2,0)</f>
        <v>Egypt</v>
      </c>
      <c r="H1015" s="13" t="n">
        <v>20</v>
      </c>
      <c r="I1015" s="13" t="n">
        <v>246000</v>
      </c>
      <c r="J1015" s="0" t="s">
        <v>16</v>
      </c>
      <c r="K1015" s="0" t="s">
        <v>1049</v>
      </c>
    </row>
    <row r="1016" customFormat="false" ht="12.8" hidden="false" customHeight="false" outlineLevel="0" collapsed="false">
      <c r="A1016" s="57" t="n">
        <v>46278</v>
      </c>
      <c r="B1016" s="0" t="s">
        <v>1110</v>
      </c>
      <c r="C1016" s="0" t="s">
        <v>19</v>
      </c>
      <c r="D1016" s="0" t="s">
        <v>71</v>
      </c>
      <c r="E1016" s="58" t="str">
        <f aca="false">VLOOKUP(D1016,Models!$A$2:$B$13,2,0)</f>
        <v>43-inch Full HD TV</v>
      </c>
      <c r="F1016" s="0" t="s">
        <v>69</v>
      </c>
      <c r="G1016" s="58" t="str">
        <f aca="false">VLOOKUP(F1016,Countries!$A$2:$B$11,2,0)</f>
        <v>Egypt</v>
      </c>
      <c r="H1016" s="13" t="n">
        <v>43</v>
      </c>
      <c r="I1016" s="13" t="n">
        <v>296700</v>
      </c>
      <c r="J1016" s="0" t="s">
        <v>16</v>
      </c>
      <c r="K1016" s="0" t="s">
        <v>1049</v>
      </c>
    </row>
    <row r="1017" customFormat="false" ht="12.8" hidden="false" customHeight="false" outlineLevel="0" collapsed="false">
      <c r="A1017" s="57" t="n">
        <v>46278</v>
      </c>
      <c r="B1017" s="0" t="s">
        <v>1111</v>
      </c>
      <c r="C1017" s="0" t="s">
        <v>19</v>
      </c>
      <c r="D1017" s="0" t="s">
        <v>77</v>
      </c>
      <c r="E1017" s="58" t="str">
        <f aca="false">VLOOKUP(D1017,Models!$A$2:$B$13,2,0)</f>
        <v>65-inch QLED TV</v>
      </c>
      <c r="F1017" s="0" t="s">
        <v>65</v>
      </c>
      <c r="G1017" s="58" t="str">
        <f aca="false">VLOOKUP(F1017,Countries!$A$2:$B$11,2,0)</f>
        <v>Jordan</v>
      </c>
      <c r="H1017" s="13" t="n">
        <v>15</v>
      </c>
      <c r="I1017" s="13" t="n">
        <v>367500</v>
      </c>
      <c r="J1017" s="0" t="s">
        <v>16</v>
      </c>
      <c r="K1017" s="0" t="s">
        <v>1049</v>
      </c>
    </row>
    <row r="1018" customFormat="false" ht="12.8" hidden="false" customHeight="false" outlineLevel="0" collapsed="false">
      <c r="A1018" s="57" t="n">
        <v>46278</v>
      </c>
      <c r="B1018" s="0" t="s">
        <v>1112</v>
      </c>
      <c r="C1018" s="0" t="s">
        <v>20</v>
      </c>
      <c r="D1018" s="0" t="s">
        <v>77</v>
      </c>
      <c r="E1018" s="58" t="str">
        <f aca="false">VLOOKUP(D1018,Models!$A$2:$B$13,2,0)</f>
        <v>65-inch QLED TV</v>
      </c>
      <c r="F1018" s="0" t="s">
        <v>101</v>
      </c>
      <c r="G1018" s="58" t="str">
        <f aca="false">VLOOKUP(F1018,Countries!$A$2:$B$11,2,0)</f>
        <v>Kuwait</v>
      </c>
      <c r="H1018" s="13" t="n">
        <v>5</v>
      </c>
      <c r="I1018" s="13" t="n">
        <v>122500</v>
      </c>
      <c r="J1018" s="0" t="s">
        <v>16</v>
      </c>
      <c r="K1018" s="0" t="s">
        <v>1049</v>
      </c>
    </row>
    <row r="1019" customFormat="false" ht="12.8" hidden="false" customHeight="false" outlineLevel="0" collapsed="false">
      <c r="A1019" s="57" t="n">
        <v>46278</v>
      </c>
      <c r="B1019" s="0" t="s">
        <v>1113</v>
      </c>
      <c r="C1019" s="0" t="s">
        <v>21</v>
      </c>
      <c r="D1019" s="0" t="s">
        <v>77</v>
      </c>
      <c r="E1019" s="58" t="str">
        <f aca="false">VLOOKUP(D1019,Models!$A$2:$B$13,2,0)</f>
        <v>65-inch QLED TV</v>
      </c>
      <c r="F1019" s="0" t="s">
        <v>177</v>
      </c>
      <c r="G1019" s="58" t="str">
        <f aca="false">VLOOKUP(F1019,Countries!$A$2:$B$11,2,0)</f>
        <v>Saudi Arabia</v>
      </c>
      <c r="H1019" s="13" t="n">
        <v>17</v>
      </c>
      <c r="I1019" s="13" t="n">
        <v>416500</v>
      </c>
      <c r="J1019" s="0" t="s">
        <v>16</v>
      </c>
      <c r="K1019" s="0" t="s">
        <v>1049</v>
      </c>
    </row>
    <row r="1020" customFormat="false" ht="12.8" hidden="false" customHeight="false" outlineLevel="0" collapsed="false">
      <c r="A1020" s="57" t="n">
        <v>46279</v>
      </c>
      <c r="B1020" s="0" t="s">
        <v>1114</v>
      </c>
      <c r="C1020" s="0" t="s">
        <v>13</v>
      </c>
      <c r="D1020" s="0" t="s">
        <v>68</v>
      </c>
      <c r="E1020" s="58" t="str">
        <f aca="false">VLOOKUP(D1020,Models!$A$2:$B$13,2,0)</f>
        <v>50-inch 4K TV</v>
      </c>
      <c r="F1020" s="0" t="s">
        <v>69</v>
      </c>
      <c r="G1020" s="58" t="str">
        <f aca="false">VLOOKUP(F1020,Countries!$A$2:$B$11,2,0)</f>
        <v>Egypt</v>
      </c>
      <c r="H1020" s="13" t="n">
        <v>19</v>
      </c>
      <c r="I1020" s="13" t="n">
        <v>197600</v>
      </c>
      <c r="J1020" s="0" t="s">
        <v>16</v>
      </c>
      <c r="K1020" s="0" t="s">
        <v>1049</v>
      </c>
    </row>
    <row r="1021" customFormat="false" ht="12.8" hidden="false" customHeight="false" outlineLevel="0" collapsed="false">
      <c r="A1021" s="57" t="n">
        <v>46279</v>
      </c>
      <c r="B1021" s="0" t="s">
        <v>1115</v>
      </c>
      <c r="C1021" s="0" t="s">
        <v>13</v>
      </c>
      <c r="D1021" s="0" t="s">
        <v>71</v>
      </c>
      <c r="E1021" s="58" t="str">
        <f aca="false">VLOOKUP(D1021,Models!$A$2:$B$13,2,0)</f>
        <v>43-inch Full HD TV</v>
      </c>
      <c r="F1021" s="0" t="s">
        <v>79</v>
      </c>
      <c r="G1021" s="58" t="str">
        <f aca="false">VLOOKUP(F1021,Countries!$A$2:$B$11,2,0)</f>
        <v>Iraq</v>
      </c>
      <c r="H1021" s="13" t="n">
        <v>34</v>
      </c>
      <c r="I1021" s="13" t="n">
        <v>234600</v>
      </c>
      <c r="J1021" s="0" t="s">
        <v>16</v>
      </c>
      <c r="K1021" s="0" t="s">
        <v>1049</v>
      </c>
    </row>
    <row r="1022" customFormat="false" ht="12.8" hidden="false" customHeight="false" outlineLevel="0" collapsed="false">
      <c r="A1022" s="57" t="n">
        <v>46279</v>
      </c>
      <c r="B1022" s="0" t="s">
        <v>1116</v>
      </c>
      <c r="C1022" s="0" t="s">
        <v>13</v>
      </c>
      <c r="D1022" s="0" t="s">
        <v>81</v>
      </c>
      <c r="E1022" s="58" t="str">
        <f aca="false">VLOOKUP(D1022,Models!$A$2:$B$13,2,0)</f>
        <v>43-inch Smart TV</v>
      </c>
      <c r="F1022" s="0" t="s">
        <v>69</v>
      </c>
      <c r="G1022" s="58" t="str">
        <f aca="false">VLOOKUP(F1022,Countries!$A$2:$B$11,2,0)</f>
        <v>Egypt</v>
      </c>
      <c r="H1022" s="13" t="n">
        <v>15</v>
      </c>
      <c r="I1022" s="13" t="n">
        <v>117000</v>
      </c>
      <c r="J1022" s="0" t="s">
        <v>16</v>
      </c>
      <c r="K1022" s="0" t="s">
        <v>1049</v>
      </c>
    </row>
    <row r="1023" customFormat="false" ht="12.8" hidden="false" customHeight="false" outlineLevel="0" collapsed="false">
      <c r="A1023" s="57" t="n">
        <v>46279</v>
      </c>
      <c r="B1023" s="0" t="s">
        <v>1117</v>
      </c>
      <c r="C1023" s="0" t="s">
        <v>13</v>
      </c>
      <c r="D1023" s="0" t="s">
        <v>109</v>
      </c>
      <c r="E1023" s="58" t="str">
        <f aca="false">VLOOKUP(D1023,Models!$A$2:$B$13,2,0)</f>
        <v>55-inch QLED TV</v>
      </c>
      <c r="F1023" s="0" t="s">
        <v>72</v>
      </c>
      <c r="G1023" s="58" t="str">
        <f aca="false">VLOOKUP(F1023,Countries!$A$2:$B$11,2,0)</f>
        <v>Kenya</v>
      </c>
      <c r="H1023" s="13" t="n">
        <v>17</v>
      </c>
      <c r="I1023" s="13" t="n">
        <v>265200</v>
      </c>
      <c r="J1023" s="0" t="s">
        <v>16</v>
      </c>
      <c r="K1023" s="0" t="s">
        <v>1049</v>
      </c>
    </row>
    <row r="1024" customFormat="false" ht="12.8" hidden="false" customHeight="false" outlineLevel="0" collapsed="false">
      <c r="A1024" s="57" t="n">
        <v>46279</v>
      </c>
      <c r="B1024" s="0" t="s">
        <v>1118</v>
      </c>
      <c r="C1024" s="0" t="s">
        <v>15</v>
      </c>
      <c r="D1024" s="0" t="s">
        <v>109</v>
      </c>
      <c r="E1024" s="58" t="str">
        <f aca="false">VLOOKUP(D1024,Models!$A$2:$B$13,2,0)</f>
        <v>55-inch QLED TV</v>
      </c>
      <c r="F1024" s="0" t="s">
        <v>69</v>
      </c>
      <c r="G1024" s="58" t="str">
        <f aca="false">VLOOKUP(F1024,Countries!$A$2:$B$11,2,0)</f>
        <v>Egypt</v>
      </c>
      <c r="H1024" s="13" t="n">
        <v>7</v>
      </c>
      <c r="I1024" s="13" t="n">
        <v>109200</v>
      </c>
      <c r="J1024" s="0" t="s">
        <v>16</v>
      </c>
      <c r="K1024" s="0" t="s">
        <v>1049</v>
      </c>
    </row>
    <row r="1025" customFormat="false" ht="12.8" hidden="false" customHeight="false" outlineLevel="0" collapsed="false">
      <c r="A1025" s="57" t="n">
        <v>46279</v>
      </c>
      <c r="B1025" s="0" t="s">
        <v>1119</v>
      </c>
      <c r="C1025" s="0" t="s">
        <v>15</v>
      </c>
      <c r="D1025" s="0" t="s">
        <v>81</v>
      </c>
      <c r="E1025" s="58" t="str">
        <f aca="false">VLOOKUP(D1025,Models!$A$2:$B$13,2,0)</f>
        <v>43-inch Smart TV</v>
      </c>
      <c r="F1025" s="0" t="s">
        <v>69</v>
      </c>
      <c r="G1025" s="58" t="str">
        <f aca="false">VLOOKUP(F1025,Countries!$A$2:$B$11,2,0)</f>
        <v>Egypt</v>
      </c>
      <c r="H1025" s="13" t="n">
        <v>35</v>
      </c>
      <c r="I1025" s="13" t="n">
        <v>273000</v>
      </c>
      <c r="J1025" s="0" t="s">
        <v>16</v>
      </c>
      <c r="K1025" s="0" t="s">
        <v>1049</v>
      </c>
    </row>
    <row r="1026" customFormat="false" ht="12.8" hidden="false" customHeight="false" outlineLevel="0" collapsed="false">
      <c r="A1026" s="57" t="n">
        <v>46279</v>
      </c>
      <c r="B1026" s="0" t="s">
        <v>1120</v>
      </c>
      <c r="C1026" s="0" t="s">
        <v>15</v>
      </c>
      <c r="D1026" s="0" t="s">
        <v>74</v>
      </c>
      <c r="E1026" s="58" t="str">
        <f aca="false">VLOOKUP(D1026,Models!$A$2:$B$13,2,0)</f>
        <v>40-inch Full HD TV</v>
      </c>
      <c r="F1026" s="0" t="s">
        <v>69</v>
      </c>
      <c r="G1026" s="58" t="str">
        <f aca="false">VLOOKUP(F1026,Countries!$A$2:$B$11,2,0)</f>
        <v>Egypt</v>
      </c>
      <c r="H1026" s="13" t="n">
        <v>6</v>
      </c>
      <c r="I1026" s="13" t="n">
        <v>37200</v>
      </c>
      <c r="J1026" s="0" t="s">
        <v>16</v>
      </c>
      <c r="K1026" s="0" t="s">
        <v>1049</v>
      </c>
    </row>
    <row r="1027" customFormat="false" ht="12.8" hidden="false" customHeight="false" outlineLevel="0" collapsed="false">
      <c r="A1027" s="57" t="n">
        <v>46279</v>
      </c>
      <c r="B1027" s="0" t="s">
        <v>1121</v>
      </c>
      <c r="C1027" s="0" t="s">
        <v>17</v>
      </c>
      <c r="D1027" s="0" t="s">
        <v>92</v>
      </c>
      <c r="E1027" s="58" t="str">
        <f aca="false">VLOOKUP(D1027,Models!$A$2:$B$13,2,0)</f>
        <v>65-inch 4K TV</v>
      </c>
      <c r="F1027" s="0" t="s">
        <v>69</v>
      </c>
      <c r="G1027" s="58" t="str">
        <f aca="false">VLOOKUP(F1027,Countries!$A$2:$B$11,2,0)</f>
        <v>Egypt</v>
      </c>
      <c r="H1027" s="13" t="n">
        <v>11</v>
      </c>
      <c r="I1027" s="13" t="n">
        <v>217800</v>
      </c>
      <c r="J1027" s="0" t="s">
        <v>16</v>
      </c>
      <c r="K1027" s="0" t="s">
        <v>1049</v>
      </c>
    </row>
    <row r="1028" customFormat="false" ht="12.8" hidden="false" customHeight="false" outlineLevel="0" collapsed="false">
      <c r="A1028" s="57" t="n">
        <v>46279</v>
      </c>
      <c r="B1028" s="0" t="s">
        <v>1122</v>
      </c>
      <c r="C1028" s="0" t="s">
        <v>17</v>
      </c>
      <c r="D1028" s="0" t="s">
        <v>85</v>
      </c>
      <c r="E1028" s="58" t="str">
        <f aca="false">VLOOKUP(D1028,Models!$A$2:$B$13,2,0)</f>
        <v>75-inch 4K TV</v>
      </c>
      <c r="F1028" s="0" t="s">
        <v>101</v>
      </c>
      <c r="G1028" s="58" t="str">
        <f aca="false">VLOOKUP(F1028,Countries!$A$2:$B$11,2,0)</f>
        <v>Kuwait</v>
      </c>
      <c r="H1028" s="13" t="n">
        <v>12</v>
      </c>
      <c r="I1028" s="13" t="n">
        <v>374400</v>
      </c>
      <c r="J1028" s="0" t="s">
        <v>16</v>
      </c>
      <c r="K1028" s="0" t="s">
        <v>1049</v>
      </c>
    </row>
    <row r="1029" customFormat="false" ht="12.8" hidden="false" customHeight="false" outlineLevel="0" collapsed="false">
      <c r="A1029" s="57" t="n">
        <v>46279</v>
      </c>
      <c r="B1029" s="0" t="s">
        <v>1123</v>
      </c>
      <c r="C1029" s="0" t="s">
        <v>19</v>
      </c>
      <c r="D1029" s="0" t="s">
        <v>85</v>
      </c>
      <c r="E1029" s="58" t="str">
        <f aca="false">VLOOKUP(D1029,Models!$A$2:$B$13,2,0)</f>
        <v>75-inch 4K TV</v>
      </c>
      <c r="F1029" s="0" t="s">
        <v>79</v>
      </c>
      <c r="G1029" s="58" t="str">
        <f aca="false">VLOOKUP(F1029,Countries!$A$2:$B$11,2,0)</f>
        <v>Iraq</v>
      </c>
      <c r="H1029" s="13" t="n">
        <v>13</v>
      </c>
      <c r="I1029" s="13" t="n">
        <v>405600</v>
      </c>
      <c r="J1029" s="0" t="s">
        <v>16</v>
      </c>
      <c r="K1029" s="0" t="s">
        <v>1049</v>
      </c>
    </row>
    <row r="1030" customFormat="false" ht="12.8" hidden="false" customHeight="false" outlineLevel="0" collapsed="false">
      <c r="A1030" s="57" t="n">
        <v>46279</v>
      </c>
      <c r="B1030" s="0" t="s">
        <v>1124</v>
      </c>
      <c r="C1030" s="0" t="s">
        <v>19</v>
      </c>
      <c r="D1030" s="0" t="s">
        <v>77</v>
      </c>
      <c r="E1030" s="58" t="str">
        <f aca="false">VLOOKUP(D1030,Models!$A$2:$B$13,2,0)</f>
        <v>65-inch QLED TV</v>
      </c>
      <c r="F1030" s="0" t="s">
        <v>79</v>
      </c>
      <c r="G1030" s="58" t="str">
        <f aca="false">VLOOKUP(F1030,Countries!$A$2:$B$11,2,0)</f>
        <v>Iraq</v>
      </c>
      <c r="H1030" s="13" t="n">
        <v>17</v>
      </c>
      <c r="I1030" s="13" t="n">
        <v>416500</v>
      </c>
      <c r="J1030" s="0" t="s">
        <v>16</v>
      </c>
      <c r="K1030" s="0" t="s">
        <v>1049</v>
      </c>
    </row>
    <row r="1031" customFormat="false" ht="12.8" hidden="false" customHeight="false" outlineLevel="0" collapsed="false">
      <c r="A1031" s="57" t="n">
        <v>46279</v>
      </c>
      <c r="B1031" s="0" t="s">
        <v>1125</v>
      </c>
      <c r="C1031" s="0" t="s">
        <v>19</v>
      </c>
      <c r="D1031" s="0" t="s">
        <v>92</v>
      </c>
      <c r="E1031" s="58" t="str">
        <f aca="false">VLOOKUP(D1031,Models!$A$2:$B$13,2,0)</f>
        <v>65-inch 4K TV</v>
      </c>
      <c r="F1031" s="0" t="s">
        <v>177</v>
      </c>
      <c r="G1031" s="58" t="str">
        <f aca="false">VLOOKUP(F1031,Countries!$A$2:$B$11,2,0)</f>
        <v>Saudi Arabia</v>
      </c>
      <c r="H1031" s="13" t="n">
        <v>8</v>
      </c>
      <c r="I1031" s="13" t="n">
        <v>158400</v>
      </c>
      <c r="J1031" s="0" t="s">
        <v>16</v>
      </c>
      <c r="K1031" s="0" t="s">
        <v>1049</v>
      </c>
    </row>
    <row r="1032" customFormat="false" ht="12.8" hidden="false" customHeight="false" outlineLevel="0" collapsed="false">
      <c r="A1032" s="57" t="n">
        <v>46279</v>
      </c>
      <c r="B1032" s="0" t="s">
        <v>1126</v>
      </c>
      <c r="C1032" s="0" t="s">
        <v>19</v>
      </c>
      <c r="D1032" s="0" t="s">
        <v>90</v>
      </c>
      <c r="E1032" s="58" t="str">
        <f aca="false">VLOOKUP(D1032,Models!$A$2:$B$13,2,0)</f>
        <v>55-inch 4K TV</v>
      </c>
      <c r="F1032" s="0" t="s">
        <v>177</v>
      </c>
      <c r="G1032" s="58" t="str">
        <f aca="false">VLOOKUP(F1032,Countries!$A$2:$B$11,2,0)</f>
        <v>Saudi Arabia</v>
      </c>
      <c r="H1032" s="13" t="n">
        <v>22</v>
      </c>
      <c r="I1032" s="13" t="n">
        <v>270600</v>
      </c>
      <c r="J1032" s="0" t="s">
        <v>16</v>
      </c>
      <c r="K1032" s="0" t="s">
        <v>1049</v>
      </c>
    </row>
    <row r="1033" customFormat="false" ht="12.8" hidden="false" customHeight="false" outlineLevel="0" collapsed="false">
      <c r="A1033" s="57" t="n">
        <v>46279</v>
      </c>
      <c r="B1033" s="0" t="s">
        <v>1127</v>
      </c>
      <c r="C1033" s="0" t="s">
        <v>20</v>
      </c>
      <c r="D1033" s="0" t="s">
        <v>85</v>
      </c>
      <c r="E1033" s="58" t="str">
        <f aca="false">VLOOKUP(D1033,Models!$A$2:$B$13,2,0)</f>
        <v>75-inch 4K TV</v>
      </c>
      <c r="F1033" s="0" t="s">
        <v>69</v>
      </c>
      <c r="G1033" s="58" t="str">
        <f aca="false">VLOOKUP(F1033,Countries!$A$2:$B$11,2,0)</f>
        <v>Egypt</v>
      </c>
      <c r="H1033" s="13" t="n">
        <v>12</v>
      </c>
      <c r="I1033" s="13" t="n">
        <v>374400</v>
      </c>
      <c r="J1033" s="0" t="s">
        <v>16</v>
      </c>
      <c r="K1033" s="0" t="s">
        <v>1049</v>
      </c>
    </row>
    <row r="1034" customFormat="false" ht="12.8" hidden="false" customHeight="false" outlineLevel="0" collapsed="false">
      <c r="A1034" s="57" t="n">
        <v>46279</v>
      </c>
      <c r="B1034" s="0" t="s">
        <v>1128</v>
      </c>
      <c r="C1034" s="0" t="s">
        <v>21</v>
      </c>
      <c r="D1034" s="0" t="s">
        <v>71</v>
      </c>
      <c r="E1034" s="58" t="str">
        <f aca="false">VLOOKUP(D1034,Models!$A$2:$B$13,2,0)</f>
        <v>43-inch Full HD TV</v>
      </c>
      <c r="F1034" s="0" t="s">
        <v>69</v>
      </c>
      <c r="G1034" s="58" t="str">
        <f aca="false">VLOOKUP(F1034,Countries!$A$2:$B$11,2,0)</f>
        <v>Egypt</v>
      </c>
      <c r="H1034" s="13" t="n">
        <v>46</v>
      </c>
      <c r="I1034" s="13" t="n">
        <v>317400</v>
      </c>
      <c r="J1034" s="0" t="s">
        <v>16</v>
      </c>
      <c r="K1034" s="0" t="s">
        <v>1049</v>
      </c>
    </row>
    <row r="1035" customFormat="false" ht="12.8" hidden="false" customHeight="false" outlineLevel="0" collapsed="false">
      <c r="A1035" s="57" t="n">
        <v>46280</v>
      </c>
      <c r="B1035" s="0" t="s">
        <v>1129</v>
      </c>
      <c r="C1035" s="0" t="s">
        <v>13</v>
      </c>
      <c r="D1035" s="0" t="s">
        <v>85</v>
      </c>
      <c r="E1035" s="58" t="str">
        <f aca="false">VLOOKUP(D1035,Models!$A$2:$B$13,2,0)</f>
        <v>75-inch 4K TV</v>
      </c>
      <c r="F1035" s="0" t="s">
        <v>69</v>
      </c>
      <c r="G1035" s="58" t="str">
        <f aca="false">VLOOKUP(F1035,Countries!$A$2:$B$11,2,0)</f>
        <v>Egypt</v>
      </c>
      <c r="H1035" s="13" t="n">
        <v>15</v>
      </c>
      <c r="I1035" s="13" t="n">
        <v>468000</v>
      </c>
      <c r="J1035" s="0" t="s">
        <v>16</v>
      </c>
      <c r="K1035" s="0" t="s">
        <v>1049</v>
      </c>
    </row>
    <row r="1036" customFormat="false" ht="12.8" hidden="false" customHeight="false" outlineLevel="0" collapsed="false">
      <c r="A1036" s="57" t="n">
        <v>46280</v>
      </c>
      <c r="B1036" s="0" t="s">
        <v>1130</v>
      </c>
      <c r="C1036" s="0" t="s">
        <v>13</v>
      </c>
      <c r="D1036" s="0" t="s">
        <v>81</v>
      </c>
      <c r="E1036" s="58" t="str">
        <f aca="false">VLOOKUP(D1036,Models!$A$2:$B$13,2,0)</f>
        <v>43-inch Smart TV</v>
      </c>
      <c r="F1036" s="0" t="s">
        <v>69</v>
      </c>
      <c r="G1036" s="58" t="str">
        <f aca="false">VLOOKUP(F1036,Countries!$A$2:$B$11,2,0)</f>
        <v>Egypt</v>
      </c>
      <c r="H1036" s="13" t="n">
        <v>27</v>
      </c>
      <c r="I1036" s="13" t="n">
        <v>210600</v>
      </c>
      <c r="J1036" s="0" t="s">
        <v>16</v>
      </c>
      <c r="K1036" s="0" t="s">
        <v>1049</v>
      </c>
    </row>
    <row r="1037" customFormat="false" ht="12.8" hidden="false" customHeight="false" outlineLevel="0" collapsed="false">
      <c r="A1037" s="57" t="n">
        <v>46280</v>
      </c>
      <c r="B1037" s="0" t="s">
        <v>1131</v>
      </c>
      <c r="C1037" s="0" t="s">
        <v>15</v>
      </c>
      <c r="D1037" s="0" t="s">
        <v>88</v>
      </c>
      <c r="E1037" s="58" t="str">
        <f aca="false">VLOOKUP(D1037,Models!$A$2:$B$13,2,0)</f>
        <v>24-inch HD TV</v>
      </c>
      <c r="F1037" s="0" t="s">
        <v>101</v>
      </c>
      <c r="G1037" s="58" t="str">
        <f aca="false">VLOOKUP(F1037,Countries!$A$2:$B$11,2,0)</f>
        <v>Kuwait</v>
      </c>
      <c r="H1037" s="13" t="n">
        <v>62</v>
      </c>
      <c r="I1037" s="13" t="n">
        <v>179800</v>
      </c>
      <c r="J1037" s="0" t="s">
        <v>16</v>
      </c>
      <c r="K1037" s="0" t="s">
        <v>1049</v>
      </c>
    </row>
    <row r="1038" customFormat="false" ht="12.8" hidden="false" customHeight="false" outlineLevel="0" collapsed="false">
      <c r="A1038" s="57" t="n">
        <v>46280</v>
      </c>
      <c r="B1038" s="0" t="s">
        <v>1132</v>
      </c>
      <c r="C1038" s="0" t="s">
        <v>15</v>
      </c>
      <c r="D1038" s="0" t="s">
        <v>90</v>
      </c>
      <c r="E1038" s="58" t="str">
        <f aca="false">VLOOKUP(D1038,Models!$A$2:$B$13,2,0)</f>
        <v>55-inch 4K TV</v>
      </c>
      <c r="F1038" s="0" t="s">
        <v>69</v>
      </c>
      <c r="G1038" s="58" t="str">
        <f aca="false">VLOOKUP(F1038,Countries!$A$2:$B$11,2,0)</f>
        <v>Egypt</v>
      </c>
      <c r="H1038" s="13" t="n">
        <v>24</v>
      </c>
      <c r="I1038" s="13" t="n">
        <v>295200</v>
      </c>
      <c r="J1038" s="0" t="s">
        <v>16</v>
      </c>
      <c r="K1038" s="0" t="s">
        <v>1049</v>
      </c>
    </row>
    <row r="1039" customFormat="false" ht="12.8" hidden="false" customHeight="false" outlineLevel="0" collapsed="false">
      <c r="A1039" s="57" t="n">
        <v>46280</v>
      </c>
      <c r="B1039" s="0" t="s">
        <v>1133</v>
      </c>
      <c r="C1039" s="0" t="s">
        <v>15</v>
      </c>
      <c r="D1039" s="0" t="s">
        <v>95</v>
      </c>
      <c r="E1039" s="58" t="str">
        <f aca="false">VLOOKUP(D1039,Models!$A$2:$B$13,2,0)</f>
        <v>32-inch HD TV</v>
      </c>
      <c r="F1039" s="0" t="s">
        <v>103</v>
      </c>
      <c r="G1039" s="58" t="str">
        <f aca="false">VLOOKUP(F1039,Countries!$A$2:$B$11,2,0)</f>
        <v>Morocco</v>
      </c>
      <c r="H1039" s="13" t="n">
        <v>36</v>
      </c>
      <c r="I1039" s="13" t="n">
        <v>140400</v>
      </c>
      <c r="J1039" s="0" t="s">
        <v>16</v>
      </c>
      <c r="K1039" s="0" t="s">
        <v>1049</v>
      </c>
    </row>
    <row r="1040" customFormat="false" ht="12.8" hidden="false" customHeight="false" outlineLevel="0" collapsed="false">
      <c r="A1040" s="57" t="n">
        <v>46280</v>
      </c>
      <c r="B1040" s="0" t="s">
        <v>1134</v>
      </c>
      <c r="C1040" s="0" t="s">
        <v>15</v>
      </c>
      <c r="D1040" s="0" t="s">
        <v>71</v>
      </c>
      <c r="E1040" s="58" t="str">
        <f aca="false">VLOOKUP(D1040,Models!$A$2:$B$13,2,0)</f>
        <v>43-inch Full HD TV</v>
      </c>
      <c r="F1040" s="0" t="s">
        <v>75</v>
      </c>
      <c r="G1040" s="58" t="str">
        <f aca="false">VLOOKUP(F1040,Countries!$A$2:$B$11,2,0)</f>
        <v>Nigeria</v>
      </c>
      <c r="H1040" s="13" t="n">
        <v>34</v>
      </c>
      <c r="I1040" s="13" t="n">
        <v>234600</v>
      </c>
      <c r="J1040" s="0" t="s">
        <v>16</v>
      </c>
      <c r="K1040" s="0" t="s">
        <v>1049</v>
      </c>
    </row>
    <row r="1041" customFormat="false" ht="12.8" hidden="false" customHeight="false" outlineLevel="0" collapsed="false">
      <c r="A1041" s="57" t="n">
        <v>46280</v>
      </c>
      <c r="B1041" s="0" t="s">
        <v>1135</v>
      </c>
      <c r="C1041" s="0" t="s">
        <v>15</v>
      </c>
      <c r="D1041" s="0" t="s">
        <v>81</v>
      </c>
      <c r="E1041" s="58" t="str">
        <f aca="false">VLOOKUP(D1041,Models!$A$2:$B$13,2,0)</f>
        <v>43-inch Smart TV</v>
      </c>
      <c r="F1041" s="0" t="s">
        <v>75</v>
      </c>
      <c r="G1041" s="58" t="str">
        <f aca="false">VLOOKUP(F1041,Countries!$A$2:$B$11,2,0)</f>
        <v>Nigeria</v>
      </c>
      <c r="H1041" s="13" t="n">
        <v>18</v>
      </c>
      <c r="I1041" s="13" t="n">
        <v>140400</v>
      </c>
      <c r="J1041" s="0" t="s">
        <v>16</v>
      </c>
      <c r="K1041" s="0" t="s">
        <v>1049</v>
      </c>
    </row>
    <row r="1042" customFormat="false" ht="12.8" hidden="false" customHeight="false" outlineLevel="0" collapsed="false">
      <c r="A1042" s="57" t="n">
        <v>46280</v>
      </c>
      <c r="B1042" s="0" t="s">
        <v>1136</v>
      </c>
      <c r="C1042" s="0" t="s">
        <v>17</v>
      </c>
      <c r="D1042" s="0" t="s">
        <v>77</v>
      </c>
      <c r="E1042" s="58" t="str">
        <f aca="false">VLOOKUP(D1042,Models!$A$2:$B$13,2,0)</f>
        <v>65-inch QLED TV</v>
      </c>
      <c r="F1042" s="0" t="s">
        <v>98</v>
      </c>
      <c r="G1042" s="58" t="str">
        <f aca="false">VLOOKUP(F1042,Countries!$A$2:$B$11,2,0)</f>
        <v>Libya</v>
      </c>
      <c r="H1042" s="13" t="n">
        <v>7</v>
      </c>
      <c r="I1042" s="13" t="n">
        <v>171500</v>
      </c>
      <c r="J1042" s="0" t="s">
        <v>16</v>
      </c>
      <c r="K1042" s="0" t="s">
        <v>1049</v>
      </c>
    </row>
    <row r="1043" customFormat="false" ht="12.8" hidden="false" customHeight="false" outlineLevel="0" collapsed="false">
      <c r="A1043" s="57" t="n">
        <v>46280</v>
      </c>
      <c r="B1043" s="0" t="s">
        <v>1137</v>
      </c>
      <c r="C1043" s="0" t="s">
        <v>17</v>
      </c>
      <c r="D1043" s="0" t="s">
        <v>77</v>
      </c>
      <c r="E1043" s="58" t="str">
        <f aca="false">VLOOKUP(D1043,Models!$A$2:$B$13,2,0)</f>
        <v>65-inch QLED TV</v>
      </c>
      <c r="F1043" s="0" t="s">
        <v>69</v>
      </c>
      <c r="G1043" s="58" t="str">
        <f aca="false">VLOOKUP(F1043,Countries!$A$2:$B$11,2,0)</f>
        <v>Egypt</v>
      </c>
      <c r="H1043" s="13" t="n">
        <v>16</v>
      </c>
      <c r="I1043" s="13" t="n">
        <v>392000</v>
      </c>
      <c r="J1043" s="0" t="s">
        <v>16</v>
      </c>
      <c r="K1043" s="0" t="s">
        <v>1049</v>
      </c>
    </row>
    <row r="1044" customFormat="false" ht="12.8" hidden="false" customHeight="false" outlineLevel="0" collapsed="false">
      <c r="A1044" s="57" t="n">
        <v>46280</v>
      </c>
      <c r="B1044" s="0" t="s">
        <v>1138</v>
      </c>
      <c r="C1044" s="0" t="s">
        <v>17</v>
      </c>
      <c r="D1044" s="0" t="s">
        <v>109</v>
      </c>
      <c r="E1044" s="58" t="str">
        <f aca="false">VLOOKUP(D1044,Models!$A$2:$B$13,2,0)</f>
        <v>55-inch QLED TV</v>
      </c>
      <c r="F1044" s="0" t="s">
        <v>98</v>
      </c>
      <c r="G1044" s="58" t="str">
        <f aca="false">VLOOKUP(F1044,Countries!$A$2:$B$11,2,0)</f>
        <v>Libya</v>
      </c>
      <c r="H1044" s="13" t="n">
        <v>28</v>
      </c>
      <c r="I1044" s="13" t="n">
        <v>436800</v>
      </c>
      <c r="J1044" s="0" t="s">
        <v>16</v>
      </c>
      <c r="K1044" s="0" t="s">
        <v>1049</v>
      </c>
    </row>
    <row r="1045" customFormat="false" ht="12.8" hidden="false" customHeight="false" outlineLevel="0" collapsed="false">
      <c r="A1045" s="57" t="n">
        <v>46280</v>
      </c>
      <c r="B1045" s="0" t="s">
        <v>1139</v>
      </c>
      <c r="C1045" s="0" t="s">
        <v>19</v>
      </c>
      <c r="D1045" s="0" t="s">
        <v>95</v>
      </c>
      <c r="E1045" s="58" t="str">
        <f aca="false">VLOOKUP(D1045,Models!$A$2:$B$13,2,0)</f>
        <v>32-inch HD TV</v>
      </c>
      <c r="F1045" s="0" t="s">
        <v>69</v>
      </c>
      <c r="G1045" s="58" t="str">
        <f aca="false">VLOOKUP(F1045,Countries!$A$2:$B$11,2,0)</f>
        <v>Egypt</v>
      </c>
      <c r="H1045" s="13" t="n">
        <v>36</v>
      </c>
      <c r="I1045" s="13" t="n">
        <v>140400</v>
      </c>
      <c r="J1045" s="0" t="s">
        <v>16</v>
      </c>
      <c r="K1045" s="0" t="s">
        <v>1049</v>
      </c>
    </row>
    <row r="1046" customFormat="false" ht="12.8" hidden="false" customHeight="false" outlineLevel="0" collapsed="false">
      <c r="A1046" s="57" t="n">
        <v>46280</v>
      </c>
      <c r="B1046" s="0" t="s">
        <v>1140</v>
      </c>
      <c r="C1046" s="0" t="s">
        <v>20</v>
      </c>
      <c r="D1046" s="0" t="s">
        <v>109</v>
      </c>
      <c r="E1046" s="58" t="str">
        <f aca="false">VLOOKUP(D1046,Models!$A$2:$B$13,2,0)</f>
        <v>55-inch QLED TV</v>
      </c>
      <c r="F1046" s="0" t="s">
        <v>69</v>
      </c>
      <c r="G1046" s="58" t="str">
        <f aca="false">VLOOKUP(F1046,Countries!$A$2:$B$11,2,0)</f>
        <v>Egypt</v>
      </c>
      <c r="H1046" s="13" t="n">
        <v>17</v>
      </c>
      <c r="I1046" s="13" t="n">
        <v>265200</v>
      </c>
      <c r="J1046" s="0" t="s">
        <v>16</v>
      </c>
      <c r="K1046" s="0" t="s">
        <v>1049</v>
      </c>
    </row>
    <row r="1047" customFormat="false" ht="12.8" hidden="false" customHeight="false" outlineLevel="0" collapsed="false">
      <c r="A1047" s="57" t="n">
        <v>46280</v>
      </c>
      <c r="B1047" s="0" t="s">
        <v>1141</v>
      </c>
      <c r="C1047" s="0" t="s">
        <v>20</v>
      </c>
      <c r="D1047" s="0" t="s">
        <v>90</v>
      </c>
      <c r="E1047" s="58" t="str">
        <f aca="false">VLOOKUP(D1047,Models!$A$2:$B$13,2,0)</f>
        <v>55-inch 4K TV</v>
      </c>
      <c r="F1047" s="0" t="s">
        <v>65</v>
      </c>
      <c r="G1047" s="58" t="str">
        <f aca="false">VLOOKUP(F1047,Countries!$A$2:$B$11,2,0)</f>
        <v>Jordan</v>
      </c>
      <c r="H1047" s="13" t="n">
        <v>28</v>
      </c>
      <c r="I1047" s="13" t="n">
        <v>344400</v>
      </c>
      <c r="J1047" s="0" t="s">
        <v>16</v>
      </c>
      <c r="K1047" s="0" t="s">
        <v>1049</v>
      </c>
    </row>
    <row r="1048" customFormat="false" ht="12.8" hidden="false" customHeight="false" outlineLevel="0" collapsed="false">
      <c r="A1048" s="57" t="n">
        <v>46280</v>
      </c>
      <c r="B1048" s="0" t="s">
        <v>1142</v>
      </c>
      <c r="C1048" s="0" t="s">
        <v>20</v>
      </c>
      <c r="D1048" s="0" t="s">
        <v>85</v>
      </c>
      <c r="E1048" s="58" t="str">
        <f aca="false">VLOOKUP(D1048,Models!$A$2:$B$13,2,0)</f>
        <v>75-inch 4K TV</v>
      </c>
      <c r="F1048" s="0" t="s">
        <v>69</v>
      </c>
      <c r="G1048" s="58" t="str">
        <f aca="false">VLOOKUP(F1048,Countries!$A$2:$B$11,2,0)</f>
        <v>Egypt</v>
      </c>
      <c r="H1048" s="13" t="n">
        <v>9</v>
      </c>
      <c r="I1048" s="13" t="n">
        <v>280800</v>
      </c>
      <c r="J1048" s="0" t="s">
        <v>16</v>
      </c>
      <c r="K1048" s="0" t="s">
        <v>1049</v>
      </c>
    </row>
    <row r="1049" customFormat="false" ht="12.8" hidden="false" customHeight="false" outlineLevel="0" collapsed="false">
      <c r="A1049" s="57" t="n">
        <v>46280</v>
      </c>
      <c r="B1049" s="0" t="s">
        <v>1143</v>
      </c>
      <c r="C1049" s="0" t="s">
        <v>21</v>
      </c>
      <c r="D1049" s="0" t="s">
        <v>90</v>
      </c>
      <c r="E1049" s="58" t="str">
        <f aca="false">VLOOKUP(D1049,Models!$A$2:$B$13,2,0)</f>
        <v>55-inch 4K TV</v>
      </c>
      <c r="F1049" s="0" t="s">
        <v>69</v>
      </c>
      <c r="G1049" s="58" t="str">
        <f aca="false">VLOOKUP(F1049,Countries!$A$2:$B$11,2,0)</f>
        <v>Egypt</v>
      </c>
      <c r="H1049" s="13" t="n">
        <v>23</v>
      </c>
      <c r="I1049" s="13" t="n">
        <v>282900</v>
      </c>
      <c r="J1049" s="0" t="s">
        <v>16</v>
      </c>
      <c r="K1049" s="0" t="s">
        <v>1049</v>
      </c>
    </row>
    <row r="1050" customFormat="false" ht="12.8" hidden="false" customHeight="false" outlineLevel="0" collapsed="false">
      <c r="A1050" s="57" t="n">
        <v>46280</v>
      </c>
      <c r="B1050" s="0" t="s">
        <v>1144</v>
      </c>
      <c r="C1050" s="0" t="s">
        <v>21</v>
      </c>
      <c r="D1050" s="0" t="s">
        <v>74</v>
      </c>
      <c r="E1050" s="58" t="str">
        <f aca="false">VLOOKUP(D1050,Models!$A$2:$B$13,2,0)</f>
        <v>40-inch Full HD TV</v>
      </c>
      <c r="F1050" s="0" t="s">
        <v>69</v>
      </c>
      <c r="G1050" s="58" t="str">
        <f aca="false">VLOOKUP(F1050,Countries!$A$2:$B$11,2,0)</f>
        <v>Egypt</v>
      </c>
      <c r="H1050" s="13" t="n">
        <v>38</v>
      </c>
      <c r="I1050" s="13" t="n">
        <v>235600</v>
      </c>
      <c r="J1050" s="0" t="s">
        <v>16</v>
      </c>
      <c r="K1050" s="0" t="s">
        <v>1049</v>
      </c>
    </row>
    <row r="1051" customFormat="false" ht="12.8" hidden="false" customHeight="false" outlineLevel="0" collapsed="false">
      <c r="A1051" s="57" t="n">
        <v>46280</v>
      </c>
      <c r="B1051" s="0" t="s">
        <v>1145</v>
      </c>
      <c r="C1051" s="0" t="s">
        <v>21</v>
      </c>
      <c r="D1051" s="0" t="s">
        <v>81</v>
      </c>
      <c r="E1051" s="58" t="str">
        <f aca="false">VLOOKUP(D1051,Models!$A$2:$B$13,2,0)</f>
        <v>43-inch Smart TV</v>
      </c>
      <c r="F1051" s="0" t="s">
        <v>69</v>
      </c>
      <c r="G1051" s="58" t="str">
        <f aca="false">VLOOKUP(F1051,Countries!$A$2:$B$11,2,0)</f>
        <v>Egypt</v>
      </c>
      <c r="H1051" s="13" t="n">
        <v>34</v>
      </c>
      <c r="I1051" s="13" t="n">
        <v>265200</v>
      </c>
      <c r="J1051" s="0" t="s">
        <v>16</v>
      </c>
      <c r="K1051" s="0" t="s">
        <v>1049</v>
      </c>
    </row>
    <row r="1052" customFormat="false" ht="12.8" hidden="false" customHeight="false" outlineLevel="0" collapsed="false">
      <c r="A1052" s="57" t="n">
        <v>46281</v>
      </c>
      <c r="B1052" s="0" t="s">
        <v>1146</v>
      </c>
      <c r="C1052" s="0" t="s">
        <v>13</v>
      </c>
      <c r="D1052" s="0" t="s">
        <v>109</v>
      </c>
      <c r="E1052" s="58" t="str">
        <f aca="false">VLOOKUP(D1052,Models!$A$2:$B$13,2,0)</f>
        <v>55-inch QLED TV</v>
      </c>
      <c r="F1052" s="0" t="s">
        <v>65</v>
      </c>
      <c r="G1052" s="58" t="str">
        <f aca="false">VLOOKUP(F1052,Countries!$A$2:$B$11,2,0)</f>
        <v>Jordan</v>
      </c>
      <c r="H1052" s="13" t="n">
        <v>9</v>
      </c>
      <c r="I1052" s="13" t="n">
        <v>140400</v>
      </c>
      <c r="J1052" s="0" t="s">
        <v>16</v>
      </c>
      <c r="K1052" s="0" t="s">
        <v>1147</v>
      </c>
    </row>
    <row r="1053" customFormat="false" ht="12.8" hidden="false" customHeight="false" outlineLevel="0" collapsed="false">
      <c r="A1053" s="57" t="n">
        <v>46281</v>
      </c>
      <c r="B1053" s="0" t="s">
        <v>1148</v>
      </c>
      <c r="C1053" s="0" t="s">
        <v>13</v>
      </c>
      <c r="D1053" s="0" t="s">
        <v>88</v>
      </c>
      <c r="E1053" s="58" t="str">
        <f aca="false">VLOOKUP(D1053,Models!$A$2:$B$13,2,0)</f>
        <v>24-inch HD TV</v>
      </c>
      <c r="F1053" s="0" t="s">
        <v>103</v>
      </c>
      <c r="G1053" s="58" t="str">
        <f aca="false">VLOOKUP(F1053,Countries!$A$2:$B$11,2,0)</f>
        <v>Morocco</v>
      </c>
      <c r="H1053" s="13" t="n">
        <v>45</v>
      </c>
      <c r="I1053" s="13" t="n">
        <v>130500</v>
      </c>
      <c r="J1053" s="0" t="s">
        <v>16</v>
      </c>
      <c r="K1053" s="0" t="s">
        <v>1147</v>
      </c>
    </row>
    <row r="1054" customFormat="false" ht="12.8" hidden="false" customHeight="false" outlineLevel="0" collapsed="false">
      <c r="A1054" s="57" t="n">
        <v>46281</v>
      </c>
      <c r="B1054" s="0" t="s">
        <v>1149</v>
      </c>
      <c r="C1054" s="0" t="s">
        <v>13</v>
      </c>
      <c r="D1054" s="0" t="s">
        <v>64</v>
      </c>
      <c r="E1054" s="58" t="str">
        <f aca="false">VLOOKUP(D1054,Models!$A$2:$B$13,2,0)</f>
        <v>32-inch Smart TV</v>
      </c>
      <c r="F1054" s="0" t="s">
        <v>103</v>
      </c>
      <c r="G1054" s="58" t="str">
        <f aca="false">VLOOKUP(F1054,Countries!$A$2:$B$11,2,0)</f>
        <v>Morocco</v>
      </c>
      <c r="H1054" s="13" t="n">
        <v>49</v>
      </c>
      <c r="I1054" s="13" t="n">
        <v>225400</v>
      </c>
      <c r="J1054" s="0" t="s">
        <v>16</v>
      </c>
      <c r="K1054" s="0" t="s">
        <v>1147</v>
      </c>
    </row>
    <row r="1055" customFormat="false" ht="12.8" hidden="false" customHeight="false" outlineLevel="0" collapsed="false">
      <c r="A1055" s="57" t="n">
        <v>46281</v>
      </c>
      <c r="B1055" s="0" t="s">
        <v>1150</v>
      </c>
      <c r="C1055" s="0" t="s">
        <v>15</v>
      </c>
      <c r="D1055" s="0" t="s">
        <v>71</v>
      </c>
      <c r="E1055" s="58" t="str">
        <f aca="false">VLOOKUP(D1055,Models!$A$2:$B$13,2,0)</f>
        <v>43-inch Full HD TV</v>
      </c>
      <c r="F1055" s="0" t="s">
        <v>69</v>
      </c>
      <c r="G1055" s="58" t="str">
        <f aca="false">VLOOKUP(F1055,Countries!$A$2:$B$11,2,0)</f>
        <v>Egypt</v>
      </c>
      <c r="H1055" s="13" t="n">
        <v>33</v>
      </c>
      <c r="I1055" s="13" t="n">
        <v>227700</v>
      </c>
      <c r="J1055" s="0" t="s">
        <v>16</v>
      </c>
      <c r="K1055" s="0" t="s">
        <v>1147</v>
      </c>
    </row>
    <row r="1056" customFormat="false" ht="12.8" hidden="false" customHeight="false" outlineLevel="0" collapsed="false">
      <c r="A1056" s="57" t="n">
        <v>46281</v>
      </c>
      <c r="B1056" s="0" t="s">
        <v>1151</v>
      </c>
      <c r="C1056" s="0" t="s">
        <v>15</v>
      </c>
      <c r="D1056" s="0" t="s">
        <v>85</v>
      </c>
      <c r="E1056" s="58" t="str">
        <f aca="false">VLOOKUP(D1056,Models!$A$2:$B$13,2,0)</f>
        <v>75-inch 4K TV</v>
      </c>
      <c r="F1056" s="0" t="s">
        <v>69</v>
      </c>
      <c r="G1056" s="58" t="str">
        <f aca="false">VLOOKUP(F1056,Countries!$A$2:$B$11,2,0)</f>
        <v>Egypt</v>
      </c>
      <c r="H1056" s="13" t="n">
        <v>13</v>
      </c>
      <c r="I1056" s="13" t="n">
        <v>405600</v>
      </c>
      <c r="J1056" s="0" t="s">
        <v>16</v>
      </c>
      <c r="K1056" s="0" t="s">
        <v>1147</v>
      </c>
    </row>
    <row r="1057" customFormat="false" ht="12.8" hidden="false" customHeight="false" outlineLevel="0" collapsed="false">
      <c r="A1057" s="57" t="n">
        <v>46281</v>
      </c>
      <c r="B1057" s="0" t="s">
        <v>1152</v>
      </c>
      <c r="C1057" s="0" t="s">
        <v>15</v>
      </c>
      <c r="D1057" s="0" t="s">
        <v>92</v>
      </c>
      <c r="E1057" s="58" t="str">
        <f aca="false">VLOOKUP(D1057,Models!$A$2:$B$13,2,0)</f>
        <v>65-inch 4K TV</v>
      </c>
      <c r="F1057" s="0" t="s">
        <v>69</v>
      </c>
      <c r="G1057" s="58" t="str">
        <f aca="false">VLOOKUP(F1057,Countries!$A$2:$B$11,2,0)</f>
        <v>Egypt</v>
      </c>
      <c r="H1057" s="13" t="n">
        <v>17</v>
      </c>
      <c r="I1057" s="13" t="n">
        <v>336600</v>
      </c>
      <c r="J1057" s="0" t="s">
        <v>16</v>
      </c>
      <c r="K1057" s="0" t="s">
        <v>1147</v>
      </c>
    </row>
    <row r="1058" customFormat="false" ht="12.8" hidden="false" customHeight="false" outlineLevel="0" collapsed="false">
      <c r="A1058" s="57" t="n">
        <v>46281</v>
      </c>
      <c r="B1058" s="0" t="s">
        <v>1153</v>
      </c>
      <c r="C1058" s="0" t="s">
        <v>15</v>
      </c>
      <c r="D1058" s="0" t="s">
        <v>109</v>
      </c>
      <c r="E1058" s="58" t="str">
        <f aca="false">VLOOKUP(D1058,Models!$A$2:$B$13,2,0)</f>
        <v>55-inch QLED TV</v>
      </c>
      <c r="F1058" s="0" t="s">
        <v>79</v>
      </c>
      <c r="G1058" s="58" t="str">
        <f aca="false">VLOOKUP(F1058,Countries!$A$2:$B$11,2,0)</f>
        <v>Iraq</v>
      </c>
      <c r="H1058" s="13" t="n">
        <v>32</v>
      </c>
      <c r="I1058" s="13" t="n">
        <v>499200</v>
      </c>
      <c r="J1058" s="0" t="s">
        <v>16</v>
      </c>
      <c r="K1058" s="0" t="s">
        <v>1147</v>
      </c>
    </row>
    <row r="1059" customFormat="false" ht="12.8" hidden="false" customHeight="false" outlineLevel="0" collapsed="false">
      <c r="A1059" s="57" t="n">
        <v>46281</v>
      </c>
      <c r="B1059" s="0" t="s">
        <v>1154</v>
      </c>
      <c r="C1059" s="0" t="s">
        <v>17</v>
      </c>
      <c r="D1059" s="0" t="s">
        <v>74</v>
      </c>
      <c r="E1059" s="58" t="str">
        <f aca="false">VLOOKUP(D1059,Models!$A$2:$B$13,2,0)</f>
        <v>40-inch Full HD TV</v>
      </c>
      <c r="F1059" s="0" t="s">
        <v>65</v>
      </c>
      <c r="G1059" s="58" t="str">
        <f aca="false">VLOOKUP(F1059,Countries!$A$2:$B$11,2,0)</f>
        <v>Jordan</v>
      </c>
      <c r="H1059" s="13" t="n">
        <v>35</v>
      </c>
      <c r="I1059" s="13" t="n">
        <v>217000</v>
      </c>
      <c r="J1059" s="0" t="s">
        <v>16</v>
      </c>
      <c r="K1059" s="0" t="s">
        <v>1147</v>
      </c>
    </row>
    <row r="1060" customFormat="false" ht="12.8" hidden="false" customHeight="false" outlineLevel="0" collapsed="false">
      <c r="A1060" s="57" t="n">
        <v>46281</v>
      </c>
      <c r="B1060" s="0" t="s">
        <v>1155</v>
      </c>
      <c r="C1060" s="0" t="s">
        <v>17</v>
      </c>
      <c r="D1060" s="0" t="s">
        <v>90</v>
      </c>
      <c r="E1060" s="58" t="str">
        <f aca="false">VLOOKUP(D1060,Models!$A$2:$B$13,2,0)</f>
        <v>55-inch 4K TV</v>
      </c>
      <c r="F1060" s="0" t="s">
        <v>69</v>
      </c>
      <c r="G1060" s="58" t="str">
        <f aca="false">VLOOKUP(F1060,Countries!$A$2:$B$11,2,0)</f>
        <v>Egypt</v>
      </c>
      <c r="H1060" s="13" t="n">
        <v>30</v>
      </c>
      <c r="I1060" s="13" t="n">
        <v>369000</v>
      </c>
      <c r="J1060" s="0" t="s">
        <v>16</v>
      </c>
      <c r="K1060" s="0" t="s">
        <v>1147</v>
      </c>
    </row>
    <row r="1061" customFormat="false" ht="12.8" hidden="false" customHeight="false" outlineLevel="0" collapsed="false">
      <c r="A1061" s="57" t="n">
        <v>46281</v>
      </c>
      <c r="B1061" s="0" t="s">
        <v>1156</v>
      </c>
      <c r="C1061" s="0" t="s">
        <v>17</v>
      </c>
      <c r="D1061" s="0" t="s">
        <v>90</v>
      </c>
      <c r="E1061" s="58" t="str">
        <f aca="false">VLOOKUP(D1061,Models!$A$2:$B$13,2,0)</f>
        <v>55-inch 4K TV</v>
      </c>
      <c r="F1061" s="0" t="s">
        <v>69</v>
      </c>
      <c r="G1061" s="58" t="str">
        <f aca="false">VLOOKUP(F1061,Countries!$A$2:$B$11,2,0)</f>
        <v>Egypt</v>
      </c>
      <c r="H1061" s="13" t="n">
        <v>27</v>
      </c>
      <c r="I1061" s="13" t="n">
        <v>332100</v>
      </c>
      <c r="J1061" s="0" t="s">
        <v>16</v>
      </c>
      <c r="K1061" s="0" t="s">
        <v>1147</v>
      </c>
    </row>
    <row r="1062" customFormat="false" ht="12.8" hidden="false" customHeight="false" outlineLevel="0" collapsed="false">
      <c r="A1062" s="57" t="n">
        <v>46281</v>
      </c>
      <c r="B1062" s="0" t="s">
        <v>1157</v>
      </c>
      <c r="C1062" s="0" t="s">
        <v>17</v>
      </c>
      <c r="D1062" s="0" t="s">
        <v>109</v>
      </c>
      <c r="E1062" s="58" t="str">
        <f aca="false">VLOOKUP(D1062,Models!$A$2:$B$13,2,0)</f>
        <v>55-inch QLED TV</v>
      </c>
      <c r="F1062" s="0" t="s">
        <v>69</v>
      </c>
      <c r="G1062" s="58" t="str">
        <f aca="false">VLOOKUP(F1062,Countries!$A$2:$B$11,2,0)</f>
        <v>Egypt</v>
      </c>
      <c r="H1062" s="13" t="n">
        <v>5</v>
      </c>
      <c r="I1062" s="13" t="n">
        <v>78000</v>
      </c>
      <c r="J1062" s="0" t="s">
        <v>16</v>
      </c>
      <c r="K1062" s="0" t="s">
        <v>1147</v>
      </c>
    </row>
    <row r="1063" customFormat="false" ht="12.8" hidden="false" customHeight="false" outlineLevel="0" collapsed="false">
      <c r="A1063" s="57" t="n">
        <v>46281</v>
      </c>
      <c r="B1063" s="0" t="s">
        <v>1158</v>
      </c>
      <c r="C1063" s="0" t="s">
        <v>19</v>
      </c>
      <c r="D1063" s="0" t="s">
        <v>92</v>
      </c>
      <c r="E1063" s="58" t="str">
        <f aca="false">VLOOKUP(D1063,Models!$A$2:$B$13,2,0)</f>
        <v>65-inch 4K TV</v>
      </c>
      <c r="F1063" s="0" t="s">
        <v>69</v>
      </c>
      <c r="G1063" s="58" t="str">
        <f aca="false">VLOOKUP(F1063,Countries!$A$2:$B$11,2,0)</f>
        <v>Egypt</v>
      </c>
      <c r="H1063" s="13" t="n">
        <v>14</v>
      </c>
      <c r="I1063" s="13" t="n">
        <v>277200</v>
      </c>
      <c r="J1063" s="0" t="s">
        <v>16</v>
      </c>
      <c r="K1063" s="0" t="s">
        <v>1147</v>
      </c>
    </row>
    <row r="1064" customFormat="false" ht="12.8" hidden="false" customHeight="false" outlineLevel="0" collapsed="false">
      <c r="A1064" s="57" t="n">
        <v>46281</v>
      </c>
      <c r="B1064" s="0" t="s">
        <v>1159</v>
      </c>
      <c r="C1064" s="0" t="s">
        <v>20</v>
      </c>
      <c r="D1064" s="0" t="s">
        <v>77</v>
      </c>
      <c r="E1064" s="58" t="str">
        <f aca="false">VLOOKUP(D1064,Models!$A$2:$B$13,2,0)</f>
        <v>65-inch QLED TV</v>
      </c>
      <c r="F1064" s="0" t="s">
        <v>69</v>
      </c>
      <c r="G1064" s="58" t="str">
        <f aca="false">VLOOKUP(F1064,Countries!$A$2:$B$11,2,0)</f>
        <v>Egypt</v>
      </c>
      <c r="H1064" s="13" t="n">
        <v>16</v>
      </c>
      <c r="I1064" s="13" t="n">
        <v>392000</v>
      </c>
      <c r="J1064" s="0" t="s">
        <v>16</v>
      </c>
      <c r="K1064" s="0" t="s">
        <v>1147</v>
      </c>
    </row>
    <row r="1065" customFormat="false" ht="12.8" hidden="false" customHeight="false" outlineLevel="0" collapsed="false">
      <c r="A1065" s="57" t="n">
        <v>46281</v>
      </c>
      <c r="B1065" s="0" t="s">
        <v>1160</v>
      </c>
      <c r="C1065" s="0" t="s">
        <v>20</v>
      </c>
      <c r="D1065" s="0" t="s">
        <v>71</v>
      </c>
      <c r="E1065" s="58" t="str">
        <f aca="false">VLOOKUP(D1065,Models!$A$2:$B$13,2,0)</f>
        <v>43-inch Full HD TV</v>
      </c>
      <c r="F1065" s="0" t="s">
        <v>69</v>
      </c>
      <c r="G1065" s="58" t="str">
        <f aca="false">VLOOKUP(F1065,Countries!$A$2:$B$11,2,0)</f>
        <v>Egypt</v>
      </c>
      <c r="H1065" s="13" t="n">
        <v>18</v>
      </c>
      <c r="I1065" s="13" t="n">
        <v>124200</v>
      </c>
      <c r="J1065" s="0" t="s">
        <v>16</v>
      </c>
      <c r="K1065" s="0" t="s">
        <v>1147</v>
      </c>
    </row>
    <row r="1066" customFormat="false" ht="12.8" hidden="false" customHeight="false" outlineLevel="0" collapsed="false">
      <c r="A1066" s="57" t="n">
        <v>46281</v>
      </c>
      <c r="B1066" s="0" t="s">
        <v>1161</v>
      </c>
      <c r="C1066" s="0" t="s">
        <v>20</v>
      </c>
      <c r="D1066" s="0" t="s">
        <v>68</v>
      </c>
      <c r="E1066" s="58" t="str">
        <f aca="false">VLOOKUP(D1066,Models!$A$2:$B$13,2,0)</f>
        <v>50-inch 4K TV</v>
      </c>
      <c r="F1066" s="0" t="s">
        <v>69</v>
      </c>
      <c r="G1066" s="58" t="str">
        <f aca="false">VLOOKUP(F1066,Countries!$A$2:$B$11,2,0)</f>
        <v>Egypt</v>
      </c>
      <c r="H1066" s="13" t="n">
        <v>22</v>
      </c>
      <c r="I1066" s="13" t="n">
        <v>228800</v>
      </c>
      <c r="J1066" s="0" t="s">
        <v>16</v>
      </c>
      <c r="K1066" s="0" t="s">
        <v>1147</v>
      </c>
    </row>
    <row r="1067" customFormat="false" ht="12.8" hidden="false" customHeight="false" outlineLevel="0" collapsed="false">
      <c r="A1067" s="57" t="n">
        <v>46281</v>
      </c>
      <c r="B1067" s="0" t="s">
        <v>1162</v>
      </c>
      <c r="C1067" s="0" t="s">
        <v>20</v>
      </c>
      <c r="D1067" s="0" t="s">
        <v>88</v>
      </c>
      <c r="E1067" s="58" t="str">
        <f aca="false">VLOOKUP(D1067,Models!$A$2:$B$13,2,0)</f>
        <v>24-inch HD TV</v>
      </c>
      <c r="F1067" s="0" t="s">
        <v>103</v>
      </c>
      <c r="G1067" s="58" t="str">
        <f aca="false">VLOOKUP(F1067,Countries!$A$2:$B$11,2,0)</f>
        <v>Morocco</v>
      </c>
      <c r="H1067" s="13" t="n">
        <v>31</v>
      </c>
      <c r="I1067" s="13" t="n">
        <v>89900</v>
      </c>
      <c r="J1067" s="0" t="s">
        <v>16</v>
      </c>
      <c r="K1067" s="0" t="s">
        <v>1147</v>
      </c>
    </row>
    <row r="1068" customFormat="false" ht="12.8" hidden="false" customHeight="false" outlineLevel="0" collapsed="false">
      <c r="A1068" s="57" t="n">
        <v>46281</v>
      </c>
      <c r="B1068" s="0" t="s">
        <v>1163</v>
      </c>
      <c r="C1068" s="0" t="s">
        <v>21</v>
      </c>
      <c r="D1068" s="0" t="s">
        <v>68</v>
      </c>
      <c r="E1068" s="58" t="str">
        <f aca="false">VLOOKUP(D1068,Models!$A$2:$B$13,2,0)</f>
        <v>50-inch 4K TV</v>
      </c>
      <c r="F1068" s="0" t="s">
        <v>69</v>
      </c>
      <c r="G1068" s="58" t="str">
        <f aca="false">VLOOKUP(F1068,Countries!$A$2:$B$11,2,0)</f>
        <v>Egypt</v>
      </c>
      <c r="H1068" s="13" t="n">
        <v>6</v>
      </c>
      <c r="I1068" s="13" t="n">
        <v>62400</v>
      </c>
      <c r="J1068" s="0" t="s">
        <v>16</v>
      </c>
      <c r="K1068" s="0" t="s">
        <v>1147</v>
      </c>
    </row>
    <row r="1069" customFormat="false" ht="12.8" hidden="false" customHeight="false" outlineLevel="0" collapsed="false">
      <c r="A1069" s="57" t="n">
        <v>46281</v>
      </c>
      <c r="B1069" s="0" t="s">
        <v>1164</v>
      </c>
      <c r="C1069" s="0" t="s">
        <v>21</v>
      </c>
      <c r="D1069" s="0" t="s">
        <v>77</v>
      </c>
      <c r="E1069" s="58" t="str">
        <f aca="false">VLOOKUP(D1069,Models!$A$2:$B$13,2,0)</f>
        <v>65-inch QLED TV</v>
      </c>
      <c r="F1069" s="0" t="s">
        <v>69</v>
      </c>
      <c r="G1069" s="58" t="str">
        <f aca="false">VLOOKUP(F1069,Countries!$A$2:$B$11,2,0)</f>
        <v>Egypt</v>
      </c>
      <c r="H1069" s="13" t="n">
        <v>22</v>
      </c>
      <c r="I1069" s="13" t="n">
        <v>539000</v>
      </c>
      <c r="J1069" s="0" t="s">
        <v>16</v>
      </c>
      <c r="K1069" s="0" t="s">
        <v>1147</v>
      </c>
    </row>
    <row r="1070" customFormat="false" ht="12.8" hidden="false" customHeight="false" outlineLevel="0" collapsed="false">
      <c r="A1070" s="57" t="n">
        <v>46282</v>
      </c>
      <c r="B1070" s="0" t="s">
        <v>1165</v>
      </c>
      <c r="C1070" s="0" t="s">
        <v>13</v>
      </c>
      <c r="D1070" s="0" t="s">
        <v>92</v>
      </c>
      <c r="E1070" s="58" t="str">
        <f aca="false">VLOOKUP(D1070,Models!$A$2:$B$13,2,0)</f>
        <v>65-inch 4K TV</v>
      </c>
      <c r="F1070" s="0" t="s">
        <v>69</v>
      </c>
      <c r="G1070" s="58" t="str">
        <f aca="false">VLOOKUP(F1070,Countries!$A$2:$B$11,2,0)</f>
        <v>Egypt</v>
      </c>
      <c r="H1070" s="13" t="n">
        <v>15</v>
      </c>
      <c r="I1070" s="13" t="n">
        <v>297000</v>
      </c>
      <c r="J1070" s="0" t="s">
        <v>16</v>
      </c>
      <c r="K1070" s="0" t="s">
        <v>1147</v>
      </c>
    </row>
    <row r="1071" customFormat="false" ht="12.8" hidden="false" customHeight="false" outlineLevel="0" collapsed="false">
      <c r="A1071" s="57" t="n">
        <v>46282</v>
      </c>
      <c r="B1071" s="0" t="s">
        <v>1166</v>
      </c>
      <c r="C1071" s="0" t="s">
        <v>13</v>
      </c>
      <c r="D1071" s="0" t="s">
        <v>95</v>
      </c>
      <c r="E1071" s="58" t="str">
        <f aca="false">VLOOKUP(D1071,Models!$A$2:$B$13,2,0)</f>
        <v>32-inch HD TV</v>
      </c>
      <c r="F1071" s="0" t="s">
        <v>69</v>
      </c>
      <c r="G1071" s="58" t="str">
        <f aca="false">VLOOKUP(F1071,Countries!$A$2:$B$11,2,0)</f>
        <v>Egypt</v>
      </c>
      <c r="H1071" s="13" t="n">
        <v>25</v>
      </c>
      <c r="I1071" s="13" t="n">
        <v>97500</v>
      </c>
      <c r="J1071" s="0" t="s">
        <v>16</v>
      </c>
      <c r="K1071" s="0" t="s">
        <v>1147</v>
      </c>
    </row>
    <row r="1072" customFormat="false" ht="12.8" hidden="false" customHeight="false" outlineLevel="0" collapsed="false">
      <c r="A1072" s="57" t="n">
        <v>46282</v>
      </c>
      <c r="B1072" s="0" t="s">
        <v>1167</v>
      </c>
      <c r="C1072" s="0" t="s">
        <v>13</v>
      </c>
      <c r="D1072" s="0" t="s">
        <v>95</v>
      </c>
      <c r="E1072" s="58" t="str">
        <f aca="false">VLOOKUP(D1072,Models!$A$2:$B$13,2,0)</f>
        <v>32-inch HD TV</v>
      </c>
      <c r="F1072" s="0" t="s">
        <v>69</v>
      </c>
      <c r="G1072" s="58" t="str">
        <f aca="false">VLOOKUP(F1072,Countries!$A$2:$B$11,2,0)</f>
        <v>Egypt</v>
      </c>
      <c r="H1072" s="13" t="n">
        <v>47</v>
      </c>
      <c r="I1072" s="13" t="n">
        <v>183300</v>
      </c>
      <c r="J1072" s="0" t="s">
        <v>16</v>
      </c>
      <c r="K1072" s="0" t="s">
        <v>1147</v>
      </c>
    </row>
    <row r="1073" customFormat="false" ht="12.8" hidden="false" customHeight="false" outlineLevel="0" collapsed="false">
      <c r="A1073" s="57" t="n">
        <v>46282</v>
      </c>
      <c r="B1073" s="0" t="s">
        <v>1168</v>
      </c>
      <c r="C1073" s="0" t="s">
        <v>13</v>
      </c>
      <c r="D1073" s="0" t="s">
        <v>81</v>
      </c>
      <c r="E1073" s="58" t="str">
        <f aca="false">VLOOKUP(D1073,Models!$A$2:$B$13,2,0)</f>
        <v>43-inch Smart TV</v>
      </c>
      <c r="F1073" s="0" t="s">
        <v>69</v>
      </c>
      <c r="G1073" s="58" t="str">
        <f aca="false">VLOOKUP(F1073,Countries!$A$2:$B$11,2,0)</f>
        <v>Egypt</v>
      </c>
      <c r="H1073" s="13" t="n">
        <v>6</v>
      </c>
      <c r="I1073" s="13" t="n">
        <v>46800</v>
      </c>
      <c r="J1073" s="0" t="s">
        <v>16</v>
      </c>
      <c r="K1073" s="0" t="s">
        <v>1147</v>
      </c>
    </row>
    <row r="1074" customFormat="false" ht="12.8" hidden="false" customHeight="false" outlineLevel="0" collapsed="false">
      <c r="A1074" s="57" t="n">
        <v>46282</v>
      </c>
      <c r="B1074" s="0" t="s">
        <v>1169</v>
      </c>
      <c r="C1074" s="0" t="s">
        <v>15</v>
      </c>
      <c r="D1074" s="0" t="s">
        <v>77</v>
      </c>
      <c r="E1074" s="58" t="str">
        <f aca="false">VLOOKUP(D1074,Models!$A$2:$B$13,2,0)</f>
        <v>65-inch QLED TV</v>
      </c>
      <c r="F1074" s="0" t="s">
        <v>69</v>
      </c>
      <c r="G1074" s="58" t="str">
        <f aca="false">VLOOKUP(F1074,Countries!$A$2:$B$11,2,0)</f>
        <v>Egypt</v>
      </c>
      <c r="H1074" s="13" t="n">
        <v>15</v>
      </c>
      <c r="I1074" s="13" t="n">
        <v>367500</v>
      </c>
      <c r="J1074" s="0" t="s">
        <v>16</v>
      </c>
      <c r="K1074" s="0" t="s">
        <v>1147</v>
      </c>
    </row>
    <row r="1075" customFormat="false" ht="12.8" hidden="false" customHeight="false" outlineLevel="0" collapsed="false">
      <c r="A1075" s="57" t="n">
        <v>46282</v>
      </c>
      <c r="B1075" s="0" t="s">
        <v>1170</v>
      </c>
      <c r="C1075" s="0" t="s">
        <v>15</v>
      </c>
      <c r="D1075" s="0" t="s">
        <v>109</v>
      </c>
      <c r="E1075" s="58" t="str">
        <f aca="false">VLOOKUP(D1075,Models!$A$2:$B$13,2,0)</f>
        <v>55-inch QLED TV</v>
      </c>
      <c r="F1075" s="0" t="s">
        <v>69</v>
      </c>
      <c r="G1075" s="58" t="str">
        <f aca="false">VLOOKUP(F1075,Countries!$A$2:$B$11,2,0)</f>
        <v>Egypt</v>
      </c>
      <c r="H1075" s="13" t="n">
        <v>11</v>
      </c>
      <c r="I1075" s="13" t="n">
        <v>171600</v>
      </c>
      <c r="J1075" s="0" t="s">
        <v>16</v>
      </c>
      <c r="K1075" s="0" t="s">
        <v>1147</v>
      </c>
    </row>
    <row r="1076" customFormat="false" ht="12.8" hidden="false" customHeight="false" outlineLevel="0" collapsed="false">
      <c r="A1076" s="57" t="n">
        <v>46282</v>
      </c>
      <c r="B1076" s="0" t="s">
        <v>1171</v>
      </c>
      <c r="C1076" s="0" t="s">
        <v>15</v>
      </c>
      <c r="D1076" s="0" t="s">
        <v>95</v>
      </c>
      <c r="E1076" s="58" t="str">
        <f aca="false">VLOOKUP(D1076,Models!$A$2:$B$13,2,0)</f>
        <v>32-inch HD TV</v>
      </c>
      <c r="F1076" s="0" t="s">
        <v>98</v>
      </c>
      <c r="G1076" s="58" t="str">
        <f aca="false">VLOOKUP(F1076,Countries!$A$2:$B$11,2,0)</f>
        <v>Libya</v>
      </c>
      <c r="H1076" s="13" t="n">
        <v>22</v>
      </c>
      <c r="I1076" s="13" t="n">
        <v>85800</v>
      </c>
      <c r="J1076" s="0" t="s">
        <v>16</v>
      </c>
      <c r="K1076" s="0" t="s">
        <v>1147</v>
      </c>
    </row>
    <row r="1077" customFormat="false" ht="12.8" hidden="false" customHeight="false" outlineLevel="0" collapsed="false">
      <c r="A1077" s="57" t="n">
        <v>46282</v>
      </c>
      <c r="B1077" s="0" t="s">
        <v>1172</v>
      </c>
      <c r="C1077" s="0" t="s">
        <v>15</v>
      </c>
      <c r="D1077" s="0" t="s">
        <v>64</v>
      </c>
      <c r="E1077" s="58" t="str">
        <f aca="false">VLOOKUP(D1077,Models!$A$2:$B$13,2,0)</f>
        <v>32-inch Smart TV</v>
      </c>
      <c r="F1077" s="0" t="s">
        <v>177</v>
      </c>
      <c r="G1077" s="58" t="str">
        <f aca="false">VLOOKUP(F1077,Countries!$A$2:$B$11,2,0)</f>
        <v>Saudi Arabia</v>
      </c>
      <c r="H1077" s="13" t="n">
        <v>54</v>
      </c>
      <c r="I1077" s="13" t="n">
        <v>248400</v>
      </c>
      <c r="J1077" s="0" t="s">
        <v>16</v>
      </c>
      <c r="K1077" s="0" t="s">
        <v>1147</v>
      </c>
    </row>
    <row r="1078" customFormat="false" ht="12.8" hidden="false" customHeight="false" outlineLevel="0" collapsed="false">
      <c r="A1078" s="57" t="n">
        <v>46282</v>
      </c>
      <c r="B1078" s="0" t="s">
        <v>1173</v>
      </c>
      <c r="C1078" s="0" t="s">
        <v>17</v>
      </c>
      <c r="D1078" s="0" t="s">
        <v>95</v>
      </c>
      <c r="E1078" s="58" t="str">
        <f aca="false">VLOOKUP(D1078,Models!$A$2:$B$13,2,0)</f>
        <v>32-inch HD TV</v>
      </c>
      <c r="F1078" s="0" t="s">
        <v>177</v>
      </c>
      <c r="G1078" s="58" t="str">
        <f aca="false">VLOOKUP(F1078,Countries!$A$2:$B$11,2,0)</f>
        <v>Saudi Arabia</v>
      </c>
      <c r="H1078" s="13" t="n">
        <v>62</v>
      </c>
      <c r="I1078" s="13" t="n">
        <v>241800</v>
      </c>
      <c r="J1078" s="0" t="s">
        <v>16</v>
      </c>
      <c r="K1078" s="0" t="s">
        <v>1147</v>
      </c>
    </row>
    <row r="1079" customFormat="false" ht="12.8" hidden="false" customHeight="false" outlineLevel="0" collapsed="false">
      <c r="A1079" s="57" t="n">
        <v>46282</v>
      </c>
      <c r="B1079" s="0" t="s">
        <v>1174</v>
      </c>
      <c r="C1079" s="0" t="s">
        <v>17</v>
      </c>
      <c r="D1079" s="0" t="s">
        <v>92</v>
      </c>
      <c r="E1079" s="58" t="str">
        <f aca="false">VLOOKUP(D1079,Models!$A$2:$B$13,2,0)</f>
        <v>65-inch 4K TV</v>
      </c>
      <c r="F1079" s="0" t="s">
        <v>65</v>
      </c>
      <c r="G1079" s="58" t="str">
        <f aca="false">VLOOKUP(F1079,Countries!$A$2:$B$11,2,0)</f>
        <v>Jordan</v>
      </c>
      <c r="H1079" s="13" t="n">
        <v>6</v>
      </c>
      <c r="I1079" s="13" t="n">
        <v>118800</v>
      </c>
      <c r="J1079" s="0" t="s">
        <v>16</v>
      </c>
      <c r="K1079" s="0" t="s">
        <v>1147</v>
      </c>
    </row>
    <row r="1080" customFormat="false" ht="12.8" hidden="false" customHeight="false" outlineLevel="0" collapsed="false">
      <c r="A1080" s="57" t="n">
        <v>46282</v>
      </c>
      <c r="B1080" s="0" t="s">
        <v>1175</v>
      </c>
      <c r="C1080" s="0" t="s">
        <v>19</v>
      </c>
      <c r="D1080" s="0" t="s">
        <v>95</v>
      </c>
      <c r="E1080" s="58" t="str">
        <f aca="false">VLOOKUP(D1080,Models!$A$2:$B$13,2,0)</f>
        <v>32-inch HD TV</v>
      </c>
      <c r="F1080" s="0" t="s">
        <v>69</v>
      </c>
      <c r="G1080" s="58" t="str">
        <f aca="false">VLOOKUP(F1080,Countries!$A$2:$B$11,2,0)</f>
        <v>Egypt</v>
      </c>
      <c r="H1080" s="13" t="n">
        <v>44</v>
      </c>
      <c r="I1080" s="13" t="n">
        <v>171600</v>
      </c>
      <c r="J1080" s="0" t="s">
        <v>16</v>
      </c>
      <c r="K1080" s="0" t="s">
        <v>1147</v>
      </c>
    </row>
    <row r="1081" customFormat="false" ht="12.8" hidden="false" customHeight="false" outlineLevel="0" collapsed="false">
      <c r="A1081" s="57" t="n">
        <v>46282</v>
      </c>
      <c r="B1081" s="0" t="s">
        <v>1176</v>
      </c>
      <c r="C1081" s="0" t="s">
        <v>19</v>
      </c>
      <c r="D1081" s="0" t="s">
        <v>88</v>
      </c>
      <c r="E1081" s="58" t="str">
        <f aca="false">VLOOKUP(D1081,Models!$A$2:$B$13,2,0)</f>
        <v>24-inch HD TV</v>
      </c>
      <c r="F1081" s="0" t="s">
        <v>69</v>
      </c>
      <c r="G1081" s="58" t="str">
        <f aca="false">VLOOKUP(F1081,Countries!$A$2:$B$11,2,0)</f>
        <v>Egypt</v>
      </c>
      <c r="H1081" s="13" t="n">
        <v>32</v>
      </c>
      <c r="I1081" s="13" t="n">
        <v>92800</v>
      </c>
      <c r="J1081" s="0" t="s">
        <v>16</v>
      </c>
      <c r="K1081" s="0" t="s">
        <v>1147</v>
      </c>
    </row>
    <row r="1082" customFormat="false" ht="12.8" hidden="false" customHeight="false" outlineLevel="0" collapsed="false">
      <c r="A1082" s="57" t="n">
        <v>46282</v>
      </c>
      <c r="B1082" s="0" t="s">
        <v>1177</v>
      </c>
      <c r="C1082" s="0" t="s">
        <v>20</v>
      </c>
      <c r="D1082" s="0" t="s">
        <v>68</v>
      </c>
      <c r="E1082" s="58" t="str">
        <f aca="false">VLOOKUP(D1082,Models!$A$2:$B$13,2,0)</f>
        <v>50-inch 4K TV</v>
      </c>
      <c r="F1082" s="0" t="s">
        <v>69</v>
      </c>
      <c r="G1082" s="58" t="str">
        <f aca="false">VLOOKUP(F1082,Countries!$A$2:$B$11,2,0)</f>
        <v>Egypt</v>
      </c>
      <c r="H1082" s="13" t="n">
        <v>29</v>
      </c>
      <c r="I1082" s="13" t="n">
        <v>301600</v>
      </c>
      <c r="J1082" s="0" t="s">
        <v>16</v>
      </c>
      <c r="K1082" s="0" t="s">
        <v>1147</v>
      </c>
    </row>
    <row r="1083" customFormat="false" ht="12.8" hidden="false" customHeight="false" outlineLevel="0" collapsed="false">
      <c r="A1083" s="57" t="n">
        <v>46282</v>
      </c>
      <c r="B1083" s="0" t="s">
        <v>1178</v>
      </c>
      <c r="C1083" s="0" t="s">
        <v>21</v>
      </c>
      <c r="D1083" s="0" t="s">
        <v>92</v>
      </c>
      <c r="E1083" s="58" t="str">
        <f aca="false">VLOOKUP(D1083,Models!$A$2:$B$13,2,0)</f>
        <v>65-inch 4K TV</v>
      </c>
      <c r="F1083" s="0" t="s">
        <v>83</v>
      </c>
      <c r="G1083" s="58" t="str">
        <f aca="false">VLOOKUP(F1083,Countries!$A$2:$B$11,2,0)</f>
        <v>United Arab Emirates</v>
      </c>
      <c r="H1083" s="13" t="n">
        <v>17</v>
      </c>
      <c r="I1083" s="13" t="n">
        <v>336600</v>
      </c>
      <c r="J1083" s="0" t="s">
        <v>16</v>
      </c>
      <c r="K1083" s="0" t="s">
        <v>1147</v>
      </c>
    </row>
    <row r="1084" customFormat="false" ht="12.8" hidden="false" customHeight="false" outlineLevel="0" collapsed="false">
      <c r="A1084" s="57" t="n">
        <v>46284</v>
      </c>
      <c r="B1084" s="0" t="s">
        <v>1179</v>
      </c>
      <c r="C1084" s="0" t="s">
        <v>13</v>
      </c>
      <c r="D1084" s="0" t="s">
        <v>71</v>
      </c>
      <c r="E1084" s="58" t="str">
        <f aca="false">VLOOKUP(D1084,Models!$A$2:$B$13,2,0)</f>
        <v>43-inch Full HD TV</v>
      </c>
      <c r="F1084" s="0" t="s">
        <v>69</v>
      </c>
      <c r="G1084" s="58" t="str">
        <f aca="false">VLOOKUP(F1084,Countries!$A$2:$B$11,2,0)</f>
        <v>Egypt</v>
      </c>
      <c r="H1084" s="13" t="n">
        <v>42</v>
      </c>
      <c r="I1084" s="13" t="n">
        <v>289800</v>
      </c>
      <c r="J1084" s="0" t="s">
        <v>16</v>
      </c>
      <c r="K1084" s="0" t="s">
        <v>1147</v>
      </c>
    </row>
    <row r="1085" customFormat="false" ht="12.8" hidden="false" customHeight="false" outlineLevel="0" collapsed="false">
      <c r="A1085" s="57" t="n">
        <v>46284</v>
      </c>
      <c r="B1085" s="0" t="s">
        <v>1180</v>
      </c>
      <c r="C1085" s="0" t="s">
        <v>13</v>
      </c>
      <c r="D1085" s="0" t="s">
        <v>95</v>
      </c>
      <c r="E1085" s="58" t="str">
        <f aca="false">VLOOKUP(D1085,Models!$A$2:$B$13,2,0)</f>
        <v>32-inch HD TV</v>
      </c>
      <c r="F1085" s="0" t="s">
        <v>69</v>
      </c>
      <c r="G1085" s="58" t="str">
        <f aca="false">VLOOKUP(F1085,Countries!$A$2:$B$11,2,0)</f>
        <v>Egypt</v>
      </c>
      <c r="H1085" s="13" t="n">
        <v>58</v>
      </c>
      <c r="I1085" s="13" t="n">
        <v>226200</v>
      </c>
      <c r="J1085" s="0" t="s">
        <v>16</v>
      </c>
      <c r="K1085" s="0" t="s">
        <v>1147</v>
      </c>
    </row>
    <row r="1086" customFormat="false" ht="12.8" hidden="false" customHeight="false" outlineLevel="0" collapsed="false">
      <c r="A1086" s="57" t="n">
        <v>46284</v>
      </c>
      <c r="B1086" s="0" t="s">
        <v>1181</v>
      </c>
      <c r="C1086" s="0" t="s">
        <v>13</v>
      </c>
      <c r="D1086" s="0" t="s">
        <v>109</v>
      </c>
      <c r="E1086" s="58" t="str">
        <f aca="false">VLOOKUP(D1086,Models!$A$2:$B$13,2,0)</f>
        <v>55-inch QLED TV</v>
      </c>
      <c r="F1086" s="0" t="s">
        <v>75</v>
      </c>
      <c r="G1086" s="58" t="str">
        <f aca="false">VLOOKUP(F1086,Countries!$A$2:$B$11,2,0)</f>
        <v>Nigeria</v>
      </c>
      <c r="H1086" s="13" t="n">
        <v>28</v>
      </c>
      <c r="I1086" s="13" t="n">
        <v>436800</v>
      </c>
      <c r="J1086" s="0" t="s">
        <v>16</v>
      </c>
      <c r="K1086" s="0" t="s">
        <v>1147</v>
      </c>
    </row>
    <row r="1087" customFormat="false" ht="12.8" hidden="false" customHeight="false" outlineLevel="0" collapsed="false">
      <c r="A1087" s="57" t="n">
        <v>46284</v>
      </c>
      <c r="B1087" s="0" t="s">
        <v>1182</v>
      </c>
      <c r="C1087" s="0" t="s">
        <v>13</v>
      </c>
      <c r="D1087" s="0" t="s">
        <v>92</v>
      </c>
      <c r="E1087" s="58" t="str">
        <f aca="false">VLOOKUP(D1087,Models!$A$2:$B$13,2,0)</f>
        <v>65-inch 4K TV</v>
      </c>
      <c r="F1087" s="0" t="s">
        <v>75</v>
      </c>
      <c r="G1087" s="58" t="str">
        <f aca="false">VLOOKUP(F1087,Countries!$A$2:$B$11,2,0)</f>
        <v>Nigeria</v>
      </c>
      <c r="H1087" s="13" t="n">
        <v>9</v>
      </c>
      <c r="I1087" s="13" t="n">
        <v>178200</v>
      </c>
      <c r="J1087" s="0" t="s">
        <v>16</v>
      </c>
      <c r="K1087" s="0" t="s">
        <v>1147</v>
      </c>
    </row>
    <row r="1088" customFormat="false" ht="12.8" hidden="false" customHeight="false" outlineLevel="0" collapsed="false">
      <c r="A1088" s="57" t="n">
        <v>46284</v>
      </c>
      <c r="B1088" s="0" t="s">
        <v>1183</v>
      </c>
      <c r="C1088" s="0" t="s">
        <v>13</v>
      </c>
      <c r="D1088" s="0" t="s">
        <v>90</v>
      </c>
      <c r="E1088" s="58" t="str">
        <f aca="false">VLOOKUP(D1088,Models!$A$2:$B$13,2,0)</f>
        <v>55-inch 4K TV</v>
      </c>
      <c r="F1088" s="0" t="s">
        <v>83</v>
      </c>
      <c r="G1088" s="58" t="str">
        <f aca="false">VLOOKUP(F1088,Countries!$A$2:$B$11,2,0)</f>
        <v>United Arab Emirates</v>
      </c>
      <c r="H1088" s="13" t="n">
        <v>22</v>
      </c>
      <c r="I1088" s="13" t="n">
        <v>270600</v>
      </c>
      <c r="J1088" s="0" t="s">
        <v>16</v>
      </c>
      <c r="K1088" s="0" t="s">
        <v>1147</v>
      </c>
    </row>
    <row r="1089" customFormat="false" ht="12.8" hidden="false" customHeight="false" outlineLevel="0" collapsed="false">
      <c r="A1089" s="57" t="n">
        <v>46284</v>
      </c>
      <c r="B1089" s="0" t="s">
        <v>1184</v>
      </c>
      <c r="C1089" s="0" t="s">
        <v>13</v>
      </c>
      <c r="D1089" s="0" t="s">
        <v>71</v>
      </c>
      <c r="E1089" s="58" t="str">
        <f aca="false">VLOOKUP(D1089,Models!$A$2:$B$13,2,0)</f>
        <v>43-inch Full HD TV</v>
      </c>
      <c r="F1089" s="0" t="s">
        <v>69</v>
      </c>
      <c r="G1089" s="58" t="str">
        <f aca="false">VLOOKUP(F1089,Countries!$A$2:$B$11,2,0)</f>
        <v>Egypt</v>
      </c>
      <c r="H1089" s="13" t="n">
        <v>10</v>
      </c>
      <c r="I1089" s="13" t="n">
        <v>69000</v>
      </c>
      <c r="J1089" s="0" t="s">
        <v>16</v>
      </c>
      <c r="K1089" s="0" t="s">
        <v>1147</v>
      </c>
    </row>
    <row r="1090" customFormat="false" ht="12.8" hidden="false" customHeight="false" outlineLevel="0" collapsed="false">
      <c r="A1090" s="57" t="n">
        <v>46284</v>
      </c>
      <c r="B1090" s="0" t="s">
        <v>1185</v>
      </c>
      <c r="C1090" s="0" t="s">
        <v>15</v>
      </c>
      <c r="D1090" s="0" t="s">
        <v>95</v>
      </c>
      <c r="E1090" s="58" t="str">
        <f aca="false">VLOOKUP(D1090,Models!$A$2:$B$13,2,0)</f>
        <v>32-inch HD TV</v>
      </c>
      <c r="F1090" s="0" t="s">
        <v>65</v>
      </c>
      <c r="G1090" s="58" t="str">
        <f aca="false">VLOOKUP(F1090,Countries!$A$2:$B$11,2,0)</f>
        <v>Jordan</v>
      </c>
      <c r="H1090" s="13" t="n">
        <v>15</v>
      </c>
      <c r="I1090" s="13" t="n">
        <v>58500</v>
      </c>
      <c r="J1090" s="0" t="s">
        <v>16</v>
      </c>
      <c r="K1090" s="0" t="s">
        <v>1147</v>
      </c>
    </row>
    <row r="1091" customFormat="false" ht="12.8" hidden="false" customHeight="false" outlineLevel="0" collapsed="false">
      <c r="A1091" s="57" t="n">
        <v>46284</v>
      </c>
      <c r="B1091" s="0" t="s">
        <v>1186</v>
      </c>
      <c r="C1091" s="0" t="s">
        <v>15</v>
      </c>
      <c r="D1091" s="0" t="s">
        <v>90</v>
      </c>
      <c r="E1091" s="58" t="str">
        <f aca="false">VLOOKUP(D1091,Models!$A$2:$B$13,2,0)</f>
        <v>55-inch 4K TV</v>
      </c>
      <c r="F1091" s="0" t="s">
        <v>101</v>
      </c>
      <c r="G1091" s="58" t="str">
        <f aca="false">VLOOKUP(F1091,Countries!$A$2:$B$11,2,0)</f>
        <v>Kuwait</v>
      </c>
      <c r="H1091" s="13" t="n">
        <v>11</v>
      </c>
      <c r="I1091" s="13" t="n">
        <v>135300</v>
      </c>
      <c r="J1091" s="0" t="s">
        <v>16</v>
      </c>
      <c r="K1091" s="0" t="s">
        <v>1147</v>
      </c>
    </row>
    <row r="1092" customFormat="false" ht="12.8" hidden="false" customHeight="false" outlineLevel="0" collapsed="false">
      <c r="A1092" s="57" t="n">
        <v>46284</v>
      </c>
      <c r="B1092" s="0" t="s">
        <v>1187</v>
      </c>
      <c r="C1092" s="0" t="s">
        <v>15</v>
      </c>
      <c r="D1092" s="0" t="s">
        <v>92</v>
      </c>
      <c r="E1092" s="58" t="str">
        <f aca="false">VLOOKUP(D1092,Models!$A$2:$B$13,2,0)</f>
        <v>65-inch 4K TV</v>
      </c>
      <c r="F1092" s="0" t="s">
        <v>65</v>
      </c>
      <c r="G1092" s="58" t="str">
        <f aca="false">VLOOKUP(F1092,Countries!$A$2:$B$11,2,0)</f>
        <v>Jordan</v>
      </c>
      <c r="H1092" s="13" t="n">
        <v>13</v>
      </c>
      <c r="I1092" s="13" t="n">
        <v>257400</v>
      </c>
      <c r="J1092" s="0" t="s">
        <v>16</v>
      </c>
      <c r="K1092" s="0" t="s">
        <v>1147</v>
      </c>
    </row>
    <row r="1093" customFormat="false" ht="12.8" hidden="false" customHeight="false" outlineLevel="0" collapsed="false">
      <c r="A1093" s="57" t="n">
        <v>46284</v>
      </c>
      <c r="B1093" s="0" t="s">
        <v>1188</v>
      </c>
      <c r="C1093" s="0" t="s">
        <v>17</v>
      </c>
      <c r="D1093" s="0" t="s">
        <v>95</v>
      </c>
      <c r="E1093" s="58" t="str">
        <f aca="false">VLOOKUP(D1093,Models!$A$2:$B$13,2,0)</f>
        <v>32-inch HD TV</v>
      </c>
      <c r="F1093" s="0" t="s">
        <v>83</v>
      </c>
      <c r="G1093" s="58" t="str">
        <f aca="false">VLOOKUP(F1093,Countries!$A$2:$B$11,2,0)</f>
        <v>United Arab Emirates</v>
      </c>
      <c r="H1093" s="13" t="n">
        <v>16</v>
      </c>
      <c r="I1093" s="13" t="n">
        <v>62400</v>
      </c>
      <c r="J1093" s="0" t="s">
        <v>16</v>
      </c>
      <c r="K1093" s="0" t="s">
        <v>1147</v>
      </c>
    </row>
    <row r="1094" customFormat="false" ht="12.8" hidden="false" customHeight="false" outlineLevel="0" collapsed="false">
      <c r="A1094" s="57" t="n">
        <v>46284</v>
      </c>
      <c r="B1094" s="0" t="s">
        <v>1189</v>
      </c>
      <c r="C1094" s="0" t="s">
        <v>19</v>
      </c>
      <c r="D1094" s="0" t="s">
        <v>68</v>
      </c>
      <c r="E1094" s="58" t="str">
        <f aca="false">VLOOKUP(D1094,Models!$A$2:$B$13,2,0)</f>
        <v>50-inch 4K TV</v>
      </c>
      <c r="F1094" s="0" t="s">
        <v>69</v>
      </c>
      <c r="G1094" s="58" t="str">
        <f aca="false">VLOOKUP(F1094,Countries!$A$2:$B$11,2,0)</f>
        <v>Egypt</v>
      </c>
      <c r="H1094" s="13" t="n">
        <v>5</v>
      </c>
      <c r="I1094" s="13" t="n">
        <v>52000</v>
      </c>
      <c r="J1094" s="0" t="s">
        <v>16</v>
      </c>
      <c r="K1094" s="0" t="s">
        <v>1147</v>
      </c>
    </row>
    <row r="1095" customFormat="false" ht="12.8" hidden="false" customHeight="false" outlineLevel="0" collapsed="false">
      <c r="A1095" s="57" t="n">
        <v>46284</v>
      </c>
      <c r="B1095" s="0" t="s">
        <v>1190</v>
      </c>
      <c r="C1095" s="0" t="s">
        <v>19</v>
      </c>
      <c r="D1095" s="0" t="s">
        <v>88</v>
      </c>
      <c r="E1095" s="58" t="str">
        <f aca="false">VLOOKUP(D1095,Models!$A$2:$B$13,2,0)</f>
        <v>24-inch HD TV</v>
      </c>
      <c r="F1095" s="0" t="s">
        <v>72</v>
      </c>
      <c r="G1095" s="58" t="str">
        <f aca="false">VLOOKUP(F1095,Countries!$A$2:$B$11,2,0)</f>
        <v>Kenya</v>
      </c>
      <c r="H1095" s="13" t="n">
        <v>48</v>
      </c>
      <c r="I1095" s="13" t="n">
        <v>139200</v>
      </c>
      <c r="J1095" s="0" t="s">
        <v>16</v>
      </c>
      <c r="K1095" s="0" t="s">
        <v>1147</v>
      </c>
    </row>
    <row r="1096" customFormat="false" ht="12.8" hidden="false" customHeight="false" outlineLevel="0" collapsed="false">
      <c r="A1096" s="57" t="n">
        <v>46284</v>
      </c>
      <c r="B1096" s="0" t="s">
        <v>1191</v>
      </c>
      <c r="C1096" s="0" t="s">
        <v>19</v>
      </c>
      <c r="D1096" s="0" t="s">
        <v>95</v>
      </c>
      <c r="E1096" s="58" t="str">
        <f aca="false">VLOOKUP(D1096,Models!$A$2:$B$13,2,0)</f>
        <v>32-inch HD TV</v>
      </c>
      <c r="F1096" s="0" t="s">
        <v>69</v>
      </c>
      <c r="G1096" s="58" t="str">
        <f aca="false">VLOOKUP(F1096,Countries!$A$2:$B$11,2,0)</f>
        <v>Egypt</v>
      </c>
      <c r="H1096" s="13" t="n">
        <v>55</v>
      </c>
      <c r="I1096" s="13" t="n">
        <v>214500</v>
      </c>
      <c r="J1096" s="0" t="s">
        <v>16</v>
      </c>
      <c r="K1096" s="0" t="s">
        <v>1147</v>
      </c>
    </row>
    <row r="1097" customFormat="false" ht="12.8" hidden="false" customHeight="false" outlineLevel="0" collapsed="false">
      <c r="A1097" s="57" t="n">
        <v>46284</v>
      </c>
      <c r="B1097" s="0" t="s">
        <v>1192</v>
      </c>
      <c r="C1097" s="0" t="s">
        <v>20</v>
      </c>
      <c r="D1097" s="0" t="s">
        <v>109</v>
      </c>
      <c r="E1097" s="58" t="str">
        <f aca="false">VLOOKUP(D1097,Models!$A$2:$B$13,2,0)</f>
        <v>55-inch QLED TV</v>
      </c>
      <c r="F1097" s="0" t="s">
        <v>72</v>
      </c>
      <c r="G1097" s="58" t="str">
        <f aca="false">VLOOKUP(F1097,Countries!$A$2:$B$11,2,0)</f>
        <v>Kenya</v>
      </c>
      <c r="H1097" s="13" t="n">
        <v>12</v>
      </c>
      <c r="I1097" s="13" t="n">
        <v>187200</v>
      </c>
      <c r="J1097" s="0" t="s">
        <v>16</v>
      </c>
      <c r="K1097" s="0" t="s">
        <v>1147</v>
      </c>
    </row>
    <row r="1098" customFormat="false" ht="12.8" hidden="false" customHeight="false" outlineLevel="0" collapsed="false">
      <c r="A1098" s="57" t="n">
        <v>46284</v>
      </c>
      <c r="B1098" s="0" t="s">
        <v>1193</v>
      </c>
      <c r="C1098" s="0" t="s">
        <v>20</v>
      </c>
      <c r="D1098" s="0" t="s">
        <v>92</v>
      </c>
      <c r="E1098" s="58" t="str">
        <f aca="false">VLOOKUP(D1098,Models!$A$2:$B$13,2,0)</f>
        <v>65-inch 4K TV</v>
      </c>
      <c r="F1098" s="0" t="s">
        <v>69</v>
      </c>
      <c r="G1098" s="58" t="str">
        <f aca="false">VLOOKUP(F1098,Countries!$A$2:$B$11,2,0)</f>
        <v>Egypt</v>
      </c>
      <c r="H1098" s="13" t="n">
        <v>7</v>
      </c>
      <c r="I1098" s="13" t="n">
        <v>138600</v>
      </c>
      <c r="J1098" s="0" t="s">
        <v>16</v>
      </c>
      <c r="K1098" s="0" t="s">
        <v>1147</v>
      </c>
    </row>
    <row r="1099" customFormat="false" ht="12.8" hidden="false" customHeight="false" outlineLevel="0" collapsed="false">
      <c r="A1099" s="57" t="n">
        <v>46284</v>
      </c>
      <c r="B1099" s="0" t="s">
        <v>1194</v>
      </c>
      <c r="C1099" s="0" t="s">
        <v>21</v>
      </c>
      <c r="D1099" s="0" t="s">
        <v>88</v>
      </c>
      <c r="E1099" s="58" t="str">
        <f aca="false">VLOOKUP(D1099,Models!$A$2:$B$13,2,0)</f>
        <v>24-inch HD TV</v>
      </c>
      <c r="F1099" s="0" t="s">
        <v>69</v>
      </c>
      <c r="G1099" s="58" t="str">
        <f aca="false">VLOOKUP(F1099,Countries!$A$2:$B$11,2,0)</f>
        <v>Egypt</v>
      </c>
      <c r="H1099" s="13" t="n">
        <v>53</v>
      </c>
      <c r="I1099" s="13" t="n">
        <v>153700</v>
      </c>
      <c r="J1099" s="0" t="s">
        <v>16</v>
      </c>
      <c r="K1099" s="0" t="s">
        <v>1147</v>
      </c>
    </row>
    <row r="1100" customFormat="false" ht="12.8" hidden="false" customHeight="false" outlineLevel="0" collapsed="false">
      <c r="A1100" s="57" t="n">
        <v>46284</v>
      </c>
      <c r="B1100" s="0" t="s">
        <v>1195</v>
      </c>
      <c r="C1100" s="0" t="s">
        <v>21</v>
      </c>
      <c r="D1100" s="0" t="s">
        <v>68</v>
      </c>
      <c r="E1100" s="58" t="str">
        <f aca="false">VLOOKUP(D1100,Models!$A$2:$B$13,2,0)</f>
        <v>50-inch 4K TV</v>
      </c>
      <c r="F1100" s="0" t="s">
        <v>69</v>
      </c>
      <c r="G1100" s="58" t="str">
        <f aca="false">VLOOKUP(F1100,Countries!$A$2:$B$11,2,0)</f>
        <v>Egypt</v>
      </c>
      <c r="H1100" s="13" t="n">
        <v>17</v>
      </c>
      <c r="I1100" s="13" t="n">
        <v>176800</v>
      </c>
      <c r="J1100" s="0" t="s">
        <v>16</v>
      </c>
      <c r="K1100" s="0" t="s">
        <v>1147</v>
      </c>
    </row>
    <row r="1101" customFormat="false" ht="12.8" hidden="false" customHeight="false" outlineLevel="0" collapsed="false">
      <c r="A1101" s="57" t="n">
        <v>46284</v>
      </c>
      <c r="B1101" s="0" t="s">
        <v>1196</v>
      </c>
      <c r="C1101" s="0" t="s">
        <v>21</v>
      </c>
      <c r="D1101" s="0" t="s">
        <v>71</v>
      </c>
      <c r="E1101" s="58" t="str">
        <f aca="false">VLOOKUP(D1101,Models!$A$2:$B$13,2,0)</f>
        <v>43-inch Full HD TV</v>
      </c>
      <c r="F1101" s="0" t="s">
        <v>69</v>
      </c>
      <c r="G1101" s="58" t="str">
        <f aca="false">VLOOKUP(F1101,Countries!$A$2:$B$11,2,0)</f>
        <v>Egypt</v>
      </c>
      <c r="H1101" s="13" t="n">
        <v>26</v>
      </c>
      <c r="I1101" s="13" t="n">
        <v>179400</v>
      </c>
      <c r="J1101" s="0" t="s">
        <v>16</v>
      </c>
      <c r="K1101" s="0" t="s">
        <v>1147</v>
      </c>
    </row>
    <row r="1102" customFormat="false" ht="12.8" hidden="false" customHeight="false" outlineLevel="0" collapsed="false">
      <c r="A1102" s="57" t="n">
        <v>46285</v>
      </c>
      <c r="B1102" s="0" t="s">
        <v>1197</v>
      </c>
      <c r="C1102" s="0" t="s">
        <v>13</v>
      </c>
      <c r="D1102" s="0" t="s">
        <v>88</v>
      </c>
      <c r="E1102" s="58" t="str">
        <f aca="false">VLOOKUP(D1102,Models!$A$2:$B$13,2,0)</f>
        <v>24-inch HD TV</v>
      </c>
      <c r="F1102" s="0" t="s">
        <v>69</v>
      </c>
      <c r="G1102" s="58" t="str">
        <f aca="false">VLOOKUP(F1102,Countries!$A$2:$B$11,2,0)</f>
        <v>Egypt</v>
      </c>
      <c r="H1102" s="13" t="n">
        <v>6</v>
      </c>
      <c r="I1102" s="13" t="n">
        <v>17400</v>
      </c>
      <c r="J1102" s="0" t="s">
        <v>16</v>
      </c>
      <c r="K1102" s="0" t="s">
        <v>1147</v>
      </c>
    </row>
    <row r="1103" customFormat="false" ht="12.8" hidden="false" customHeight="false" outlineLevel="0" collapsed="false">
      <c r="A1103" s="57" t="n">
        <v>46285</v>
      </c>
      <c r="B1103" s="0" t="s">
        <v>1198</v>
      </c>
      <c r="C1103" s="0" t="s">
        <v>13</v>
      </c>
      <c r="D1103" s="0" t="s">
        <v>90</v>
      </c>
      <c r="E1103" s="58" t="str">
        <f aca="false">VLOOKUP(D1103,Models!$A$2:$B$13,2,0)</f>
        <v>55-inch 4K TV</v>
      </c>
      <c r="F1103" s="0" t="s">
        <v>83</v>
      </c>
      <c r="G1103" s="58" t="str">
        <f aca="false">VLOOKUP(F1103,Countries!$A$2:$B$11,2,0)</f>
        <v>United Arab Emirates</v>
      </c>
      <c r="H1103" s="13" t="n">
        <v>15</v>
      </c>
      <c r="I1103" s="13" t="n">
        <v>184500</v>
      </c>
      <c r="J1103" s="0" t="s">
        <v>16</v>
      </c>
      <c r="K1103" s="0" t="s">
        <v>1147</v>
      </c>
    </row>
    <row r="1104" customFormat="false" ht="12.8" hidden="false" customHeight="false" outlineLevel="0" collapsed="false">
      <c r="A1104" s="57" t="n">
        <v>46285</v>
      </c>
      <c r="B1104" s="0" t="s">
        <v>1199</v>
      </c>
      <c r="C1104" s="0" t="s">
        <v>13</v>
      </c>
      <c r="D1104" s="0" t="s">
        <v>71</v>
      </c>
      <c r="E1104" s="58" t="str">
        <f aca="false">VLOOKUP(D1104,Models!$A$2:$B$13,2,0)</f>
        <v>43-inch Full HD TV</v>
      </c>
      <c r="F1104" s="0" t="s">
        <v>75</v>
      </c>
      <c r="G1104" s="58" t="str">
        <f aca="false">VLOOKUP(F1104,Countries!$A$2:$B$11,2,0)</f>
        <v>Nigeria</v>
      </c>
      <c r="H1104" s="13" t="n">
        <v>45</v>
      </c>
      <c r="I1104" s="13" t="n">
        <v>310500</v>
      </c>
      <c r="J1104" s="0" t="s">
        <v>16</v>
      </c>
      <c r="K1104" s="0" t="s">
        <v>1147</v>
      </c>
    </row>
    <row r="1105" customFormat="false" ht="12.8" hidden="false" customHeight="false" outlineLevel="0" collapsed="false">
      <c r="A1105" s="57" t="n">
        <v>46285</v>
      </c>
      <c r="B1105" s="0" t="s">
        <v>1200</v>
      </c>
      <c r="C1105" s="0" t="s">
        <v>15</v>
      </c>
      <c r="D1105" s="0" t="s">
        <v>88</v>
      </c>
      <c r="E1105" s="58" t="str">
        <f aca="false">VLOOKUP(D1105,Models!$A$2:$B$13,2,0)</f>
        <v>24-inch HD TV</v>
      </c>
      <c r="F1105" s="0" t="s">
        <v>72</v>
      </c>
      <c r="G1105" s="58" t="str">
        <f aca="false">VLOOKUP(F1105,Countries!$A$2:$B$11,2,0)</f>
        <v>Kenya</v>
      </c>
      <c r="H1105" s="13" t="n">
        <v>35</v>
      </c>
      <c r="I1105" s="13" t="n">
        <v>101500</v>
      </c>
      <c r="J1105" s="0" t="s">
        <v>16</v>
      </c>
      <c r="K1105" s="0" t="s">
        <v>1147</v>
      </c>
    </row>
    <row r="1106" customFormat="false" ht="12.8" hidden="false" customHeight="false" outlineLevel="0" collapsed="false">
      <c r="A1106" s="57" t="n">
        <v>46285</v>
      </c>
      <c r="B1106" s="0" t="s">
        <v>1201</v>
      </c>
      <c r="C1106" s="0" t="s">
        <v>15</v>
      </c>
      <c r="D1106" s="0" t="s">
        <v>95</v>
      </c>
      <c r="E1106" s="58" t="str">
        <f aca="false">VLOOKUP(D1106,Models!$A$2:$B$13,2,0)</f>
        <v>32-inch HD TV</v>
      </c>
      <c r="F1106" s="0" t="s">
        <v>103</v>
      </c>
      <c r="G1106" s="58" t="str">
        <f aca="false">VLOOKUP(F1106,Countries!$A$2:$B$11,2,0)</f>
        <v>Morocco</v>
      </c>
      <c r="H1106" s="13" t="n">
        <v>9</v>
      </c>
      <c r="I1106" s="13" t="n">
        <v>35100</v>
      </c>
      <c r="J1106" s="0" t="s">
        <v>16</v>
      </c>
      <c r="K1106" s="0" t="s">
        <v>1147</v>
      </c>
    </row>
    <row r="1107" customFormat="false" ht="12.8" hidden="false" customHeight="false" outlineLevel="0" collapsed="false">
      <c r="A1107" s="57" t="n">
        <v>46285</v>
      </c>
      <c r="B1107" s="0" t="s">
        <v>1202</v>
      </c>
      <c r="C1107" s="0" t="s">
        <v>15</v>
      </c>
      <c r="D1107" s="0" t="s">
        <v>81</v>
      </c>
      <c r="E1107" s="58" t="str">
        <f aca="false">VLOOKUP(D1107,Models!$A$2:$B$13,2,0)</f>
        <v>43-inch Smart TV</v>
      </c>
      <c r="F1107" s="0" t="s">
        <v>98</v>
      </c>
      <c r="G1107" s="58" t="str">
        <f aca="false">VLOOKUP(F1107,Countries!$A$2:$B$11,2,0)</f>
        <v>Libya</v>
      </c>
      <c r="H1107" s="13" t="n">
        <v>15</v>
      </c>
      <c r="I1107" s="13" t="n">
        <v>117000</v>
      </c>
      <c r="J1107" s="0" t="s">
        <v>16</v>
      </c>
      <c r="K1107" s="0" t="s">
        <v>1147</v>
      </c>
    </row>
    <row r="1108" customFormat="false" ht="12.8" hidden="false" customHeight="false" outlineLevel="0" collapsed="false">
      <c r="A1108" s="57" t="n">
        <v>46285</v>
      </c>
      <c r="B1108" s="0" t="s">
        <v>1203</v>
      </c>
      <c r="C1108" s="0" t="s">
        <v>17</v>
      </c>
      <c r="D1108" s="0" t="s">
        <v>81</v>
      </c>
      <c r="E1108" s="58" t="str">
        <f aca="false">VLOOKUP(D1108,Models!$A$2:$B$13,2,0)</f>
        <v>43-inch Smart TV</v>
      </c>
      <c r="F1108" s="0" t="s">
        <v>69</v>
      </c>
      <c r="G1108" s="58" t="str">
        <f aca="false">VLOOKUP(F1108,Countries!$A$2:$B$11,2,0)</f>
        <v>Egypt</v>
      </c>
      <c r="H1108" s="13" t="n">
        <v>20</v>
      </c>
      <c r="I1108" s="13" t="n">
        <v>156000</v>
      </c>
      <c r="J1108" s="0" t="s">
        <v>16</v>
      </c>
      <c r="K1108" s="0" t="s">
        <v>1147</v>
      </c>
    </row>
    <row r="1109" customFormat="false" ht="12.8" hidden="false" customHeight="false" outlineLevel="0" collapsed="false">
      <c r="A1109" s="57" t="n">
        <v>46285</v>
      </c>
      <c r="B1109" s="0" t="s">
        <v>1204</v>
      </c>
      <c r="C1109" s="0" t="s">
        <v>17</v>
      </c>
      <c r="D1109" s="0" t="s">
        <v>95</v>
      </c>
      <c r="E1109" s="58" t="str">
        <f aca="false">VLOOKUP(D1109,Models!$A$2:$B$13,2,0)</f>
        <v>32-inch HD TV</v>
      </c>
      <c r="F1109" s="0" t="s">
        <v>69</v>
      </c>
      <c r="G1109" s="58" t="str">
        <f aca="false">VLOOKUP(F1109,Countries!$A$2:$B$11,2,0)</f>
        <v>Egypt</v>
      </c>
      <c r="H1109" s="13" t="n">
        <v>50</v>
      </c>
      <c r="I1109" s="13" t="n">
        <v>195000</v>
      </c>
      <c r="J1109" s="0" t="s">
        <v>16</v>
      </c>
      <c r="K1109" s="0" t="s">
        <v>1147</v>
      </c>
    </row>
    <row r="1110" customFormat="false" ht="12.8" hidden="false" customHeight="false" outlineLevel="0" collapsed="false">
      <c r="A1110" s="57" t="n">
        <v>46285</v>
      </c>
      <c r="B1110" s="0" t="s">
        <v>1205</v>
      </c>
      <c r="C1110" s="0" t="s">
        <v>19</v>
      </c>
      <c r="D1110" s="0" t="s">
        <v>90</v>
      </c>
      <c r="E1110" s="58" t="str">
        <f aca="false">VLOOKUP(D1110,Models!$A$2:$B$13,2,0)</f>
        <v>55-inch 4K TV</v>
      </c>
      <c r="F1110" s="0" t="s">
        <v>65</v>
      </c>
      <c r="G1110" s="58" t="str">
        <f aca="false">VLOOKUP(F1110,Countries!$A$2:$B$11,2,0)</f>
        <v>Jordan</v>
      </c>
      <c r="H1110" s="13" t="n">
        <v>21</v>
      </c>
      <c r="I1110" s="13" t="n">
        <v>258300</v>
      </c>
      <c r="J1110" s="0" t="s">
        <v>16</v>
      </c>
      <c r="K1110" s="0" t="s">
        <v>1147</v>
      </c>
    </row>
    <row r="1111" customFormat="false" ht="12.8" hidden="false" customHeight="false" outlineLevel="0" collapsed="false">
      <c r="A1111" s="57" t="n">
        <v>46285</v>
      </c>
      <c r="B1111" s="0" t="s">
        <v>1206</v>
      </c>
      <c r="C1111" s="0" t="s">
        <v>19</v>
      </c>
      <c r="D1111" s="0" t="s">
        <v>88</v>
      </c>
      <c r="E1111" s="58" t="str">
        <f aca="false">VLOOKUP(D1111,Models!$A$2:$B$13,2,0)</f>
        <v>24-inch HD TV</v>
      </c>
      <c r="F1111" s="0" t="s">
        <v>98</v>
      </c>
      <c r="G1111" s="58" t="str">
        <f aca="false">VLOOKUP(F1111,Countries!$A$2:$B$11,2,0)</f>
        <v>Libya</v>
      </c>
      <c r="H1111" s="13" t="n">
        <v>64</v>
      </c>
      <c r="I1111" s="13" t="n">
        <v>185600</v>
      </c>
      <c r="J1111" s="0" t="s">
        <v>16</v>
      </c>
      <c r="K1111" s="0" t="s">
        <v>1147</v>
      </c>
    </row>
    <row r="1112" customFormat="false" ht="12.8" hidden="false" customHeight="false" outlineLevel="0" collapsed="false">
      <c r="A1112" s="57" t="n">
        <v>46285</v>
      </c>
      <c r="B1112" s="0" t="s">
        <v>1207</v>
      </c>
      <c r="C1112" s="0" t="s">
        <v>20</v>
      </c>
      <c r="D1112" s="0" t="s">
        <v>64</v>
      </c>
      <c r="E1112" s="58" t="str">
        <f aca="false">VLOOKUP(D1112,Models!$A$2:$B$13,2,0)</f>
        <v>32-inch Smart TV</v>
      </c>
      <c r="F1112" s="0" t="s">
        <v>79</v>
      </c>
      <c r="G1112" s="58" t="str">
        <f aca="false">VLOOKUP(F1112,Countries!$A$2:$B$11,2,0)</f>
        <v>Iraq</v>
      </c>
      <c r="H1112" s="13" t="n">
        <v>12</v>
      </c>
      <c r="I1112" s="13" t="n">
        <v>55200</v>
      </c>
      <c r="J1112" s="0" t="s">
        <v>16</v>
      </c>
      <c r="K1112" s="0" t="s">
        <v>1147</v>
      </c>
    </row>
    <row r="1113" customFormat="false" ht="12.8" hidden="false" customHeight="false" outlineLevel="0" collapsed="false">
      <c r="A1113" s="57" t="n">
        <v>46285</v>
      </c>
      <c r="B1113" s="0" t="s">
        <v>1208</v>
      </c>
      <c r="C1113" s="0" t="s">
        <v>21</v>
      </c>
      <c r="D1113" s="0" t="s">
        <v>95</v>
      </c>
      <c r="E1113" s="58" t="str">
        <f aca="false">VLOOKUP(D1113,Models!$A$2:$B$13,2,0)</f>
        <v>32-inch HD TV</v>
      </c>
      <c r="F1113" s="0" t="s">
        <v>69</v>
      </c>
      <c r="G1113" s="58" t="str">
        <f aca="false">VLOOKUP(F1113,Countries!$A$2:$B$11,2,0)</f>
        <v>Egypt</v>
      </c>
      <c r="H1113" s="13" t="n">
        <v>64</v>
      </c>
      <c r="I1113" s="13" t="n">
        <v>249600</v>
      </c>
      <c r="J1113" s="0" t="s">
        <v>16</v>
      </c>
      <c r="K1113" s="0" t="s">
        <v>1147</v>
      </c>
    </row>
    <row r="1114" customFormat="false" ht="12.8" hidden="false" customHeight="false" outlineLevel="0" collapsed="false">
      <c r="A1114" s="57" t="n">
        <v>46285</v>
      </c>
      <c r="B1114" s="0" t="s">
        <v>1209</v>
      </c>
      <c r="C1114" s="0" t="s">
        <v>21</v>
      </c>
      <c r="D1114" s="0" t="s">
        <v>71</v>
      </c>
      <c r="E1114" s="58" t="str">
        <f aca="false">VLOOKUP(D1114,Models!$A$2:$B$13,2,0)</f>
        <v>43-inch Full HD TV</v>
      </c>
      <c r="F1114" s="0" t="s">
        <v>69</v>
      </c>
      <c r="G1114" s="58" t="str">
        <f aca="false">VLOOKUP(F1114,Countries!$A$2:$B$11,2,0)</f>
        <v>Egypt</v>
      </c>
      <c r="H1114" s="13" t="n">
        <v>35</v>
      </c>
      <c r="I1114" s="13" t="n">
        <v>241500</v>
      </c>
      <c r="J1114" s="0" t="s">
        <v>16</v>
      </c>
      <c r="K1114" s="0" t="s">
        <v>1147</v>
      </c>
    </row>
    <row r="1115" customFormat="false" ht="12.8" hidden="false" customHeight="false" outlineLevel="0" collapsed="false">
      <c r="A1115" s="57" t="n">
        <v>46285</v>
      </c>
      <c r="B1115" s="0" t="s">
        <v>1210</v>
      </c>
      <c r="C1115" s="0" t="s">
        <v>21</v>
      </c>
      <c r="D1115" s="0" t="s">
        <v>90</v>
      </c>
      <c r="E1115" s="58" t="str">
        <f aca="false">VLOOKUP(D1115,Models!$A$2:$B$13,2,0)</f>
        <v>55-inch 4K TV</v>
      </c>
      <c r="F1115" s="0" t="s">
        <v>69</v>
      </c>
      <c r="G1115" s="58" t="str">
        <f aca="false">VLOOKUP(F1115,Countries!$A$2:$B$11,2,0)</f>
        <v>Egypt</v>
      </c>
      <c r="H1115" s="13" t="n">
        <v>6</v>
      </c>
      <c r="I1115" s="13" t="n">
        <v>73800</v>
      </c>
      <c r="J1115" s="0" t="s">
        <v>16</v>
      </c>
      <c r="K1115" s="0" t="s">
        <v>1147</v>
      </c>
    </row>
    <row r="1116" customFormat="false" ht="12.8" hidden="false" customHeight="false" outlineLevel="0" collapsed="false">
      <c r="A1116" s="57" t="n">
        <v>46286</v>
      </c>
      <c r="B1116" s="0" t="s">
        <v>1211</v>
      </c>
      <c r="C1116" s="0" t="s">
        <v>13</v>
      </c>
      <c r="D1116" s="0" t="s">
        <v>92</v>
      </c>
      <c r="E1116" s="58" t="str">
        <f aca="false">VLOOKUP(D1116,Models!$A$2:$B$13,2,0)</f>
        <v>65-inch 4K TV</v>
      </c>
      <c r="F1116" s="0" t="s">
        <v>69</v>
      </c>
      <c r="G1116" s="58" t="str">
        <f aca="false">VLOOKUP(F1116,Countries!$A$2:$B$11,2,0)</f>
        <v>Egypt</v>
      </c>
      <c r="H1116" s="13" t="n">
        <v>12</v>
      </c>
      <c r="I1116" s="13" t="n">
        <v>237600</v>
      </c>
      <c r="J1116" s="0" t="s">
        <v>16</v>
      </c>
      <c r="K1116" s="0" t="s">
        <v>1147</v>
      </c>
    </row>
    <row r="1117" customFormat="false" ht="12.8" hidden="false" customHeight="false" outlineLevel="0" collapsed="false">
      <c r="A1117" s="57" t="n">
        <v>46286</v>
      </c>
      <c r="B1117" s="0" t="s">
        <v>1212</v>
      </c>
      <c r="C1117" s="0" t="s">
        <v>13</v>
      </c>
      <c r="D1117" s="0" t="s">
        <v>77</v>
      </c>
      <c r="E1117" s="58" t="str">
        <f aca="false">VLOOKUP(D1117,Models!$A$2:$B$13,2,0)</f>
        <v>65-inch QLED TV</v>
      </c>
      <c r="F1117" s="0" t="s">
        <v>69</v>
      </c>
      <c r="G1117" s="58" t="str">
        <f aca="false">VLOOKUP(F1117,Countries!$A$2:$B$11,2,0)</f>
        <v>Egypt</v>
      </c>
      <c r="H1117" s="13" t="n">
        <v>8</v>
      </c>
      <c r="I1117" s="13" t="n">
        <v>196000</v>
      </c>
      <c r="J1117" s="0" t="s">
        <v>16</v>
      </c>
      <c r="K1117" s="0" t="s">
        <v>1147</v>
      </c>
    </row>
    <row r="1118" customFormat="false" ht="12.8" hidden="false" customHeight="false" outlineLevel="0" collapsed="false">
      <c r="A1118" s="57" t="n">
        <v>46286</v>
      </c>
      <c r="B1118" s="0" t="s">
        <v>1213</v>
      </c>
      <c r="C1118" s="0" t="s">
        <v>13</v>
      </c>
      <c r="D1118" s="0" t="s">
        <v>95</v>
      </c>
      <c r="E1118" s="58" t="str">
        <f aca="false">VLOOKUP(D1118,Models!$A$2:$B$13,2,0)</f>
        <v>32-inch HD TV</v>
      </c>
      <c r="F1118" s="0" t="s">
        <v>69</v>
      </c>
      <c r="G1118" s="58" t="str">
        <f aca="false">VLOOKUP(F1118,Countries!$A$2:$B$11,2,0)</f>
        <v>Egypt</v>
      </c>
      <c r="H1118" s="13" t="n">
        <v>22</v>
      </c>
      <c r="I1118" s="13" t="n">
        <v>85800</v>
      </c>
      <c r="J1118" s="0" t="s">
        <v>16</v>
      </c>
      <c r="K1118" s="0" t="s">
        <v>1147</v>
      </c>
    </row>
    <row r="1119" customFormat="false" ht="12.8" hidden="false" customHeight="false" outlineLevel="0" collapsed="false">
      <c r="A1119" s="57" t="n">
        <v>46286</v>
      </c>
      <c r="B1119" s="0" t="s">
        <v>1214</v>
      </c>
      <c r="C1119" s="0" t="s">
        <v>13</v>
      </c>
      <c r="D1119" s="0" t="s">
        <v>77</v>
      </c>
      <c r="E1119" s="58" t="str">
        <f aca="false">VLOOKUP(D1119,Models!$A$2:$B$13,2,0)</f>
        <v>65-inch QLED TV</v>
      </c>
      <c r="F1119" s="0" t="s">
        <v>177</v>
      </c>
      <c r="G1119" s="58" t="str">
        <f aca="false">VLOOKUP(F1119,Countries!$A$2:$B$11,2,0)</f>
        <v>Saudi Arabia</v>
      </c>
      <c r="H1119" s="13" t="n">
        <v>11</v>
      </c>
      <c r="I1119" s="13" t="n">
        <v>269500</v>
      </c>
      <c r="J1119" s="0" t="s">
        <v>16</v>
      </c>
      <c r="K1119" s="0" t="s">
        <v>1147</v>
      </c>
    </row>
    <row r="1120" customFormat="false" ht="12.8" hidden="false" customHeight="false" outlineLevel="0" collapsed="false">
      <c r="A1120" s="57" t="n">
        <v>46286</v>
      </c>
      <c r="B1120" s="0" t="s">
        <v>1215</v>
      </c>
      <c r="C1120" s="0" t="s">
        <v>15</v>
      </c>
      <c r="D1120" s="0" t="s">
        <v>85</v>
      </c>
      <c r="E1120" s="58" t="str">
        <f aca="false">VLOOKUP(D1120,Models!$A$2:$B$13,2,0)</f>
        <v>75-inch 4K TV</v>
      </c>
      <c r="F1120" s="0" t="s">
        <v>69</v>
      </c>
      <c r="G1120" s="58" t="str">
        <f aca="false">VLOOKUP(F1120,Countries!$A$2:$B$11,2,0)</f>
        <v>Egypt</v>
      </c>
      <c r="H1120" s="13" t="n">
        <v>14</v>
      </c>
      <c r="I1120" s="13" t="n">
        <v>436800</v>
      </c>
      <c r="J1120" s="0" t="s">
        <v>16</v>
      </c>
      <c r="K1120" s="0" t="s">
        <v>1147</v>
      </c>
    </row>
    <row r="1121" customFormat="false" ht="12.8" hidden="false" customHeight="false" outlineLevel="0" collapsed="false">
      <c r="A1121" s="57" t="n">
        <v>46286</v>
      </c>
      <c r="B1121" s="0" t="s">
        <v>1216</v>
      </c>
      <c r="C1121" s="0" t="s">
        <v>15</v>
      </c>
      <c r="D1121" s="0" t="s">
        <v>109</v>
      </c>
      <c r="E1121" s="58" t="str">
        <f aca="false">VLOOKUP(D1121,Models!$A$2:$B$13,2,0)</f>
        <v>55-inch QLED TV</v>
      </c>
      <c r="F1121" s="0" t="s">
        <v>177</v>
      </c>
      <c r="G1121" s="58" t="str">
        <f aca="false">VLOOKUP(F1121,Countries!$A$2:$B$11,2,0)</f>
        <v>Saudi Arabia</v>
      </c>
      <c r="H1121" s="13" t="n">
        <v>22</v>
      </c>
      <c r="I1121" s="13" t="n">
        <v>343200</v>
      </c>
      <c r="J1121" s="0" t="s">
        <v>16</v>
      </c>
      <c r="K1121" s="0" t="s">
        <v>1147</v>
      </c>
    </row>
    <row r="1122" customFormat="false" ht="12.8" hidden="false" customHeight="false" outlineLevel="0" collapsed="false">
      <c r="A1122" s="57" t="n">
        <v>46286</v>
      </c>
      <c r="B1122" s="0" t="s">
        <v>1217</v>
      </c>
      <c r="C1122" s="0" t="s">
        <v>15</v>
      </c>
      <c r="D1122" s="0" t="s">
        <v>74</v>
      </c>
      <c r="E1122" s="58" t="str">
        <f aca="false">VLOOKUP(D1122,Models!$A$2:$B$13,2,0)</f>
        <v>40-inch Full HD TV</v>
      </c>
      <c r="F1122" s="0" t="s">
        <v>69</v>
      </c>
      <c r="G1122" s="58" t="str">
        <f aca="false">VLOOKUP(F1122,Countries!$A$2:$B$11,2,0)</f>
        <v>Egypt</v>
      </c>
      <c r="H1122" s="13" t="n">
        <v>35</v>
      </c>
      <c r="I1122" s="13" t="n">
        <v>217000</v>
      </c>
      <c r="J1122" s="0" t="s">
        <v>16</v>
      </c>
      <c r="K1122" s="0" t="s">
        <v>1147</v>
      </c>
    </row>
    <row r="1123" customFormat="false" ht="12.8" hidden="false" customHeight="false" outlineLevel="0" collapsed="false">
      <c r="A1123" s="57" t="n">
        <v>46286</v>
      </c>
      <c r="B1123" s="0" t="s">
        <v>1218</v>
      </c>
      <c r="C1123" s="0" t="s">
        <v>15</v>
      </c>
      <c r="D1123" s="0" t="s">
        <v>68</v>
      </c>
      <c r="E1123" s="58" t="str">
        <f aca="false">VLOOKUP(D1123,Models!$A$2:$B$13,2,0)</f>
        <v>50-inch 4K TV</v>
      </c>
      <c r="F1123" s="0" t="s">
        <v>98</v>
      </c>
      <c r="G1123" s="58" t="str">
        <f aca="false">VLOOKUP(F1123,Countries!$A$2:$B$11,2,0)</f>
        <v>Libya</v>
      </c>
      <c r="H1123" s="13" t="n">
        <v>24</v>
      </c>
      <c r="I1123" s="13" t="n">
        <v>249600</v>
      </c>
      <c r="J1123" s="0" t="s">
        <v>16</v>
      </c>
      <c r="K1123" s="0" t="s">
        <v>1147</v>
      </c>
    </row>
    <row r="1124" customFormat="false" ht="12.8" hidden="false" customHeight="false" outlineLevel="0" collapsed="false">
      <c r="A1124" s="57" t="n">
        <v>46286</v>
      </c>
      <c r="B1124" s="0" t="s">
        <v>1219</v>
      </c>
      <c r="C1124" s="0" t="s">
        <v>15</v>
      </c>
      <c r="D1124" s="0" t="s">
        <v>95</v>
      </c>
      <c r="E1124" s="58" t="str">
        <f aca="false">VLOOKUP(D1124,Models!$A$2:$B$13,2,0)</f>
        <v>32-inch HD TV</v>
      </c>
      <c r="F1124" s="0" t="s">
        <v>69</v>
      </c>
      <c r="G1124" s="58" t="str">
        <f aca="false">VLOOKUP(F1124,Countries!$A$2:$B$11,2,0)</f>
        <v>Egypt</v>
      </c>
      <c r="H1124" s="13" t="n">
        <v>60</v>
      </c>
      <c r="I1124" s="13" t="n">
        <v>234000</v>
      </c>
      <c r="J1124" s="0" t="s">
        <v>16</v>
      </c>
      <c r="K1124" s="0" t="s">
        <v>1147</v>
      </c>
    </row>
    <row r="1125" customFormat="false" ht="12.8" hidden="false" customHeight="false" outlineLevel="0" collapsed="false">
      <c r="A1125" s="57" t="n">
        <v>46286</v>
      </c>
      <c r="B1125" s="0" t="s">
        <v>1220</v>
      </c>
      <c r="C1125" s="0" t="s">
        <v>17</v>
      </c>
      <c r="D1125" s="0" t="s">
        <v>95</v>
      </c>
      <c r="E1125" s="58" t="str">
        <f aca="false">VLOOKUP(D1125,Models!$A$2:$B$13,2,0)</f>
        <v>32-inch HD TV</v>
      </c>
      <c r="F1125" s="0" t="s">
        <v>101</v>
      </c>
      <c r="G1125" s="58" t="str">
        <f aca="false">VLOOKUP(F1125,Countries!$A$2:$B$11,2,0)</f>
        <v>Kuwait</v>
      </c>
      <c r="H1125" s="13" t="n">
        <v>18</v>
      </c>
      <c r="I1125" s="13" t="n">
        <v>70200</v>
      </c>
      <c r="J1125" s="0" t="s">
        <v>16</v>
      </c>
      <c r="K1125" s="0" t="s">
        <v>1147</v>
      </c>
    </row>
    <row r="1126" customFormat="false" ht="12.8" hidden="false" customHeight="false" outlineLevel="0" collapsed="false">
      <c r="A1126" s="57" t="n">
        <v>46286</v>
      </c>
      <c r="B1126" s="0" t="s">
        <v>1221</v>
      </c>
      <c r="C1126" s="0" t="s">
        <v>17</v>
      </c>
      <c r="D1126" s="0" t="s">
        <v>71</v>
      </c>
      <c r="E1126" s="58" t="str">
        <f aca="false">VLOOKUP(D1126,Models!$A$2:$B$13,2,0)</f>
        <v>43-inch Full HD TV</v>
      </c>
      <c r="F1126" s="0" t="s">
        <v>69</v>
      </c>
      <c r="G1126" s="58" t="str">
        <f aca="false">VLOOKUP(F1126,Countries!$A$2:$B$11,2,0)</f>
        <v>Egypt</v>
      </c>
      <c r="H1126" s="13" t="n">
        <v>26</v>
      </c>
      <c r="I1126" s="13" t="n">
        <v>179400</v>
      </c>
      <c r="J1126" s="0" t="s">
        <v>16</v>
      </c>
      <c r="K1126" s="0" t="s">
        <v>1147</v>
      </c>
    </row>
    <row r="1127" customFormat="false" ht="12.8" hidden="false" customHeight="false" outlineLevel="0" collapsed="false">
      <c r="A1127" s="57" t="n">
        <v>46286</v>
      </c>
      <c r="B1127" s="0" t="s">
        <v>1222</v>
      </c>
      <c r="C1127" s="0" t="s">
        <v>19</v>
      </c>
      <c r="D1127" s="0" t="s">
        <v>71</v>
      </c>
      <c r="E1127" s="58" t="str">
        <f aca="false">VLOOKUP(D1127,Models!$A$2:$B$13,2,0)</f>
        <v>43-inch Full HD TV</v>
      </c>
      <c r="F1127" s="0" t="s">
        <v>79</v>
      </c>
      <c r="G1127" s="58" t="str">
        <f aca="false">VLOOKUP(F1127,Countries!$A$2:$B$11,2,0)</f>
        <v>Iraq</v>
      </c>
      <c r="H1127" s="13" t="n">
        <v>21</v>
      </c>
      <c r="I1127" s="13" t="n">
        <v>144900</v>
      </c>
      <c r="J1127" s="0" t="s">
        <v>16</v>
      </c>
      <c r="K1127" s="0" t="s">
        <v>1147</v>
      </c>
    </row>
    <row r="1128" customFormat="false" ht="12.8" hidden="false" customHeight="false" outlineLevel="0" collapsed="false">
      <c r="A1128" s="57" t="n">
        <v>46286</v>
      </c>
      <c r="B1128" s="0" t="s">
        <v>1223</v>
      </c>
      <c r="C1128" s="0" t="s">
        <v>19</v>
      </c>
      <c r="D1128" s="0" t="s">
        <v>68</v>
      </c>
      <c r="E1128" s="58" t="str">
        <f aca="false">VLOOKUP(D1128,Models!$A$2:$B$13,2,0)</f>
        <v>50-inch 4K TV</v>
      </c>
      <c r="F1128" s="0" t="s">
        <v>69</v>
      </c>
      <c r="G1128" s="58" t="str">
        <f aca="false">VLOOKUP(F1128,Countries!$A$2:$B$11,2,0)</f>
        <v>Egypt</v>
      </c>
      <c r="H1128" s="13" t="n">
        <v>34</v>
      </c>
      <c r="I1128" s="13" t="n">
        <v>353600</v>
      </c>
      <c r="J1128" s="0" t="s">
        <v>16</v>
      </c>
      <c r="K1128" s="0" t="s">
        <v>1147</v>
      </c>
    </row>
    <row r="1129" customFormat="false" ht="12.8" hidden="false" customHeight="false" outlineLevel="0" collapsed="false">
      <c r="A1129" s="57" t="n">
        <v>46286</v>
      </c>
      <c r="B1129" s="0" t="s">
        <v>1224</v>
      </c>
      <c r="C1129" s="0" t="s">
        <v>19</v>
      </c>
      <c r="D1129" s="0" t="s">
        <v>71</v>
      </c>
      <c r="E1129" s="58" t="str">
        <f aca="false">VLOOKUP(D1129,Models!$A$2:$B$13,2,0)</f>
        <v>43-inch Full HD TV</v>
      </c>
      <c r="F1129" s="0" t="s">
        <v>79</v>
      </c>
      <c r="G1129" s="58" t="str">
        <f aca="false">VLOOKUP(F1129,Countries!$A$2:$B$11,2,0)</f>
        <v>Iraq</v>
      </c>
      <c r="H1129" s="13" t="n">
        <v>11</v>
      </c>
      <c r="I1129" s="13" t="n">
        <v>75900</v>
      </c>
      <c r="J1129" s="0" t="s">
        <v>16</v>
      </c>
      <c r="K1129" s="0" t="s">
        <v>1147</v>
      </c>
    </row>
    <row r="1130" customFormat="false" ht="12.8" hidden="false" customHeight="false" outlineLevel="0" collapsed="false">
      <c r="A1130" s="57" t="n">
        <v>46286</v>
      </c>
      <c r="B1130" s="0" t="s">
        <v>1225</v>
      </c>
      <c r="C1130" s="0" t="s">
        <v>20</v>
      </c>
      <c r="D1130" s="0" t="s">
        <v>85</v>
      </c>
      <c r="E1130" s="58" t="str">
        <f aca="false">VLOOKUP(D1130,Models!$A$2:$B$13,2,0)</f>
        <v>75-inch 4K TV</v>
      </c>
      <c r="F1130" s="0" t="s">
        <v>69</v>
      </c>
      <c r="G1130" s="58" t="str">
        <f aca="false">VLOOKUP(F1130,Countries!$A$2:$B$11,2,0)</f>
        <v>Egypt</v>
      </c>
      <c r="H1130" s="13" t="n">
        <v>9</v>
      </c>
      <c r="I1130" s="13" t="n">
        <v>280800</v>
      </c>
      <c r="J1130" s="0" t="s">
        <v>16</v>
      </c>
      <c r="K1130" s="0" t="s">
        <v>1147</v>
      </c>
    </row>
    <row r="1131" customFormat="false" ht="12.8" hidden="false" customHeight="false" outlineLevel="0" collapsed="false">
      <c r="A1131" s="57" t="n">
        <v>46286</v>
      </c>
      <c r="B1131" s="0" t="s">
        <v>1226</v>
      </c>
      <c r="C1131" s="0" t="s">
        <v>20</v>
      </c>
      <c r="D1131" s="0" t="s">
        <v>77</v>
      </c>
      <c r="E1131" s="58" t="str">
        <f aca="false">VLOOKUP(D1131,Models!$A$2:$B$13,2,0)</f>
        <v>65-inch QLED TV</v>
      </c>
      <c r="F1131" s="0" t="s">
        <v>69</v>
      </c>
      <c r="G1131" s="58" t="str">
        <f aca="false">VLOOKUP(F1131,Countries!$A$2:$B$11,2,0)</f>
        <v>Egypt</v>
      </c>
      <c r="H1131" s="13" t="n">
        <v>14</v>
      </c>
      <c r="I1131" s="13" t="n">
        <v>343000</v>
      </c>
      <c r="J1131" s="0" t="s">
        <v>16</v>
      </c>
      <c r="K1131" s="0" t="s">
        <v>1147</v>
      </c>
    </row>
    <row r="1132" customFormat="false" ht="12.8" hidden="false" customHeight="false" outlineLevel="0" collapsed="false">
      <c r="A1132" s="57" t="n">
        <v>46286</v>
      </c>
      <c r="B1132" s="0" t="s">
        <v>1227</v>
      </c>
      <c r="C1132" s="0" t="s">
        <v>20</v>
      </c>
      <c r="D1132" s="0" t="s">
        <v>81</v>
      </c>
      <c r="E1132" s="58" t="str">
        <f aca="false">VLOOKUP(D1132,Models!$A$2:$B$13,2,0)</f>
        <v>43-inch Smart TV</v>
      </c>
      <c r="F1132" s="0" t="s">
        <v>72</v>
      </c>
      <c r="G1132" s="58" t="str">
        <f aca="false">VLOOKUP(F1132,Countries!$A$2:$B$11,2,0)</f>
        <v>Kenya</v>
      </c>
      <c r="H1132" s="13" t="n">
        <v>25</v>
      </c>
      <c r="I1132" s="13" t="n">
        <v>195000</v>
      </c>
      <c r="J1132" s="0" t="s">
        <v>16</v>
      </c>
      <c r="K1132" s="0" t="s">
        <v>1147</v>
      </c>
    </row>
    <row r="1133" customFormat="false" ht="12.8" hidden="false" customHeight="false" outlineLevel="0" collapsed="false">
      <c r="A1133" s="57" t="n">
        <v>46286</v>
      </c>
      <c r="B1133" s="0" t="s">
        <v>1228</v>
      </c>
      <c r="C1133" s="0" t="s">
        <v>20</v>
      </c>
      <c r="D1133" s="0" t="s">
        <v>68</v>
      </c>
      <c r="E1133" s="58" t="str">
        <f aca="false">VLOOKUP(D1133,Models!$A$2:$B$13,2,0)</f>
        <v>50-inch 4K TV</v>
      </c>
      <c r="F1133" s="0" t="s">
        <v>98</v>
      </c>
      <c r="G1133" s="58" t="str">
        <f aca="false">VLOOKUP(F1133,Countries!$A$2:$B$11,2,0)</f>
        <v>Libya</v>
      </c>
      <c r="H1133" s="13" t="n">
        <v>11</v>
      </c>
      <c r="I1133" s="13" t="n">
        <v>114400</v>
      </c>
      <c r="J1133" s="0" t="s">
        <v>16</v>
      </c>
      <c r="K1133" s="0" t="s">
        <v>1147</v>
      </c>
    </row>
    <row r="1134" customFormat="false" ht="12.8" hidden="false" customHeight="false" outlineLevel="0" collapsed="false">
      <c r="A1134" s="57" t="n">
        <v>46286</v>
      </c>
      <c r="B1134" s="0" t="s">
        <v>1229</v>
      </c>
      <c r="C1134" s="0" t="s">
        <v>21</v>
      </c>
      <c r="D1134" s="0" t="s">
        <v>64</v>
      </c>
      <c r="E1134" s="58" t="str">
        <f aca="false">VLOOKUP(D1134,Models!$A$2:$B$13,2,0)</f>
        <v>32-inch Smart TV</v>
      </c>
      <c r="F1134" s="0" t="s">
        <v>69</v>
      </c>
      <c r="G1134" s="58" t="str">
        <f aca="false">VLOOKUP(F1134,Countries!$A$2:$B$11,2,0)</f>
        <v>Egypt</v>
      </c>
      <c r="H1134" s="13" t="n">
        <v>29</v>
      </c>
      <c r="I1134" s="13" t="n">
        <v>133400</v>
      </c>
      <c r="J1134" s="0" t="s">
        <v>16</v>
      </c>
      <c r="K1134" s="0" t="s">
        <v>1147</v>
      </c>
    </row>
    <row r="1135" customFormat="false" ht="12.8" hidden="false" customHeight="false" outlineLevel="0" collapsed="false">
      <c r="A1135" s="57" t="n">
        <v>46287</v>
      </c>
      <c r="B1135" s="0" t="s">
        <v>1230</v>
      </c>
      <c r="C1135" s="0" t="s">
        <v>13</v>
      </c>
      <c r="D1135" s="0" t="s">
        <v>109</v>
      </c>
      <c r="E1135" s="58" t="str">
        <f aca="false">VLOOKUP(D1135,Models!$A$2:$B$13,2,0)</f>
        <v>55-inch QLED TV</v>
      </c>
      <c r="F1135" s="0" t="s">
        <v>177</v>
      </c>
      <c r="G1135" s="58" t="str">
        <f aca="false">VLOOKUP(F1135,Countries!$A$2:$B$11,2,0)</f>
        <v>Saudi Arabia</v>
      </c>
      <c r="H1135" s="13" t="n">
        <v>16</v>
      </c>
      <c r="I1135" s="13" t="n">
        <v>249600</v>
      </c>
      <c r="J1135" s="0" t="s">
        <v>16</v>
      </c>
      <c r="K1135" s="0" t="s">
        <v>1147</v>
      </c>
    </row>
    <row r="1136" customFormat="false" ht="12.8" hidden="false" customHeight="false" outlineLevel="0" collapsed="false">
      <c r="A1136" s="57" t="n">
        <v>46287</v>
      </c>
      <c r="B1136" s="0" t="s">
        <v>1231</v>
      </c>
      <c r="C1136" s="0" t="s">
        <v>13</v>
      </c>
      <c r="D1136" s="0" t="s">
        <v>81</v>
      </c>
      <c r="E1136" s="58" t="str">
        <f aca="false">VLOOKUP(D1136,Models!$A$2:$B$13,2,0)</f>
        <v>43-inch Smart TV</v>
      </c>
      <c r="F1136" s="0" t="s">
        <v>72</v>
      </c>
      <c r="G1136" s="58" t="str">
        <f aca="false">VLOOKUP(F1136,Countries!$A$2:$B$11,2,0)</f>
        <v>Kenya</v>
      </c>
      <c r="H1136" s="13" t="n">
        <v>37</v>
      </c>
      <c r="I1136" s="13" t="n">
        <v>288600</v>
      </c>
      <c r="J1136" s="0" t="s">
        <v>16</v>
      </c>
      <c r="K1136" s="0" t="s">
        <v>1147</v>
      </c>
    </row>
    <row r="1137" customFormat="false" ht="12.8" hidden="false" customHeight="false" outlineLevel="0" collapsed="false">
      <c r="A1137" s="57" t="n">
        <v>46287</v>
      </c>
      <c r="B1137" s="0" t="s">
        <v>1232</v>
      </c>
      <c r="C1137" s="0" t="s">
        <v>13</v>
      </c>
      <c r="D1137" s="0" t="s">
        <v>77</v>
      </c>
      <c r="E1137" s="58" t="str">
        <f aca="false">VLOOKUP(D1137,Models!$A$2:$B$13,2,0)</f>
        <v>65-inch QLED TV</v>
      </c>
      <c r="F1137" s="0" t="s">
        <v>75</v>
      </c>
      <c r="G1137" s="58" t="str">
        <f aca="false">VLOOKUP(F1137,Countries!$A$2:$B$11,2,0)</f>
        <v>Nigeria</v>
      </c>
      <c r="H1137" s="13" t="n">
        <v>10</v>
      </c>
      <c r="I1137" s="13" t="n">
        <v>245000</v>
      </c>
      <c r="J1137" s="0" t="s">
        <v>16</v>
      </c>
      <c r="K1137" s="0" t="s">
        <v>1147</v>
      </c>
    </row>
    <row r="1138" customFormat="false" ht="12.8" hidden="false" customHeight="false" outlineLevel="0" collapsed="false">
      <c r="A1138" s="57" t="n">
        <v>46287</v>
      </c>
      <c r="B1138" s="0" t="s">
        <v>1233</v>
      </c>
      <c r="C1138" s="0" t="s">
        <v>13</v>
      </c>
      <c r="D1138" s="0" t="s">
        <v>90</v>
      </c>
      <c r="E1138" s="58" t="str">
        <f aca="false">VLOOKUP(D1138,Models!$A$2:$B$13,2,0)</f>
        <v>55-inch 4K TV</v>
      </c>
      <c r="F1138" s="0" t="s">
        <v>75</v>
      </c>
      <c r="G1138" s="58" t="str">
        <f aca="false">VLOOKUP(F1138,Countries!$A$2:$B$11,2,0)</f>
        <v>Nigeria</v>
      </c>
      <c r="H1138" s="13" t="n">
        <v>13</v>
      </c>
      <c r="I1138" s="13" t="n">
        <v>159900</v>
      </c>
      <c r="J1138" s="0" t="s">
        <v>16</v>
      </c>
      <c r="K1138" s="0" t="s">
        <v>1147</v>
      </c>
    </row>
    <row r="1139" customFormat="false" ht="12.8" hidden="false" customHeight="false" outlineLevel="0" collapsed="false">
      <c r="A1139" s="57" t="n">
        <v>46287</v>
      </c>
      <c r="B1139" s="0" t="s">
        <v>1234</v>
      </c>
      <c r="C1139" s="0" t="s">
        <v>15</v>
      </c>
      <c r="D1139" s="0" t="s">
        <v>77</v>
      </c>
      <c r="E1139" s="58" t="str">
        <f aca="false">VLOOKUP(D1139,Models!$A$2:$B$13,2,0)</f>
        <v>65-inch QLED TV</v>
      </c>
      <c r="F1139" s="0" t="s">
        <v>65</v>
      </c>
      <c r="G1139" s="58" t="str">
        <f aca="false">VLOOKUP(F1139,Countries!$A$2:$B$11,2,0)</f>
        <v>Jordan</v>
      </c>
      <c r="H1139" s="13" t="n">
        <v>13</v>
      </c>
      <c r="I1139" s="13" t="n">
        <v>318500</v>
      </c>
      <c r="J1139" s="0" t="s">
        <v>16</v>
      </c>
      <c r="K1139" s="0" t="s">
        <v>1147</v>
      </c>
    </row>
    <row r="1140" customFormat="false" ht="12.8" hidden="false" customHeight="false" outlineLevel="0" collapsed="false">
      <c r="A1140" s="57" t="n">
        <v>46287</v>
      </c>
      <c r="B1140" s="0" t="s">
        <v>1235</v>
      </c>
      <c r="C1140" s="0" t="s">
        <v>15</v>
      </c>
      <c r="D1140" s="0" t="s">
        <v>95</v>
      </c>
      <c r="E1140" s="58" t="str">
        <f aca="false">VLOOKUP(D1140,Models!$A$2:$B$13,2,0)</f>
        <v>32-inch HD TV</v>
      </c>
      <c r="F1140" s="0" t="s">
        <v>65</v>
      </c>
      <c r="G1140" s="58" t="str">
        <f aca="false">VLOOKUP(F1140,Countries!$A$2:$B$11,2,0)</f>
        <v>Jordan</v>
      </c>
      <c r="H1140" s="13" t="n">
        <v>23</v>
      </c>
      <c r="I1140" s="13" t="n">
        <v>89700</v>
      </c>
      <c r="J1140" s="0" t="s">
        <v>16</v>
      </c>
      <c r="K1140" s="0" t="s">
        <v>1147</v>
      </c>
    </row>
    <row r="1141" customFormat="false" ht="12.8" hidden="false" customHeight="false" outlineLevel="0" collapsed="false">
      <c r="A1141" s="57" t="n">
        <v>46287</v>
      </c>
      <c r="B1141" s="0" t="s">
        <v>1236</v>
      </c>
      <c r="C1141" s="0" t="s">
        <v>15</v>
      </c>
      <c r="D1141" s="0" t="s">
        <v>88</v>
      </c>
      <c r="E1141" s="58" t="str">
        <f aca="false">VLOOKUP(D1141,Models!$A$2:$B$13,2,0)</f>
        <v>24-inch HD TV</v>
      </c>
      <c r="F1141" s="0" t="s">
        <v>98</v>
      </c>
      <c r="G1141" s="58" t="str">
        <f aca="false">VLOOKUP(F1141,Countries!$A$2:$B$11,2,0)</f>
        <v>Libya</v>
      </c>
      <c r="H1141" s="13" t="n">
        <v>31</v>
      </c>
      <c r="I1141" s="13" t="n">
        <v>89900</v>
      </c>
      <c r="J1141" s="0" t="s">
        <v>16</v>
      </c>
      <c r="K1141" s="0" t="s">
        <v>1147</v>
      </c>
    </row>
    <row r="1142" customFormat="false" ht="12.8" hidden="false" customHeight="false" outlineLevel="0" collapsed="false">
      <c r="A1142" s="57" t="n">
        <v>46287</v>
      </c>
      <c r="B1142" s="0" t="s">
        <v>1237</v>
      </c>
      <c r="C1142" s="0" t="s">
        <v>15</v>
      </c>
      <c r="D1142" s="0" t="s">
        <v>109</v>
      </c>
      <c r="E1142" s="58" t="str">
        <f aca="false">VLOOKUP(D1142,Models!$A$2:$B$13,2,0)</f>
        <v>55-inch QLED TV</v>
      </c>
      <c r="F1142" s="0" t="s">
        <v>69</v>
      </c>
      <c r="G1142" s="58" t="str">
        <f aca="false">VLOOKUP(F1142,Countries!$A$2:$B$11,2,0)</f>
        <v>Egypt</v>
      </c>
      <c r="H1142" s="13" t="n">
        <v>32</v>
      </c>
      <c r="I1142" s="13" t="n">
        <v>499200</v>
      </c>
      <c r="J1142" s="0" t="s">
        <v>16</v>
      </c>
      <c r="K1142" s="0" t="s">
        <v>1147</v>
      </c>
    </row>
    <row r="1143" customFormat="false" ht="12.8" hidden="false" customHeight="false" outlineLevel="0" collapsed="false">
      <c r="A1143" s="57" t="n">
        <v>46287</v>
      </c>
      <c r="B1143" s="0" t="s">
        <v>1238</v>
      </c>
      <c r="C1143" s="0" t="s">
        <v>15</v>
      </c>
      <c r="D1143" s="0" t="s">
        <v>74</v>
      </c>
      <c r="E1143" s="58" t="str">
        <f aca="false">VLOOKUP(D1143,Models!$A$2:$B$13,2,0)</f>
        <v>40-inch Full HD TV</v>
      </c>
      <c r="F1143" s="0" t="s">
        <v>69</v>
      </c>
      <c r="G1143" s="58" t="str">
        <f aca="false">VLOOKUP(F1143,Countries!$A$2:$B$11,2,0)</f>
        <v>Egypt</v>
      </c>
      <c r="H1143" s="13" t="n">
        <v>48</v>
      </c>
      <c r="I1143" s="13" t="n">
        <v>297600</v>
      </c>
      <c r="J1143" s="0" t="s">
        <v>16</v>
      </c>
      <c r="K1143" s="0" t="s">
        <v>1147</v>
      </c>
    </row>
    <row r="1144" customFormat="false" ht="12.8" hidden="false" customHeight="false" outlineLevel="0" collapsed="false">
      <c r="A1144" s="57" t="n">
        <v>46287</v>
      </c>
      <c r="B1144" s="0" t="s">
        <v>1239</v>
      </c>
      <c r="C1144" s="0" t="s">
        <v>17</v>
      </c>
      <c r="D1144" s="0" t="s">
        <v>90</v>
      </c>
      <c r="E1144" s="58" t="str">
        <f aca="false">VLOOKUP(D1144,Models!$A$2:$B$13,2,0)</f>
        <v>55-inch 4K TV</v>
      </c>
      <c r="F1144" s="0" t="s">
        <v>69</v>
      </c>
      <c r="G1144" s="58" t="str">
        <f aca="false">VLOOKUP(F1144,Countries!$A$2:$B$11,2,0)</f>
        <v>Egypt</v>
      </c>
      <c r="H1144" s="13" t="n">
        <v>29</v>
      </c>
      <c r="I1144" s="13" t="n">
        <v>356700</v>
      </c>
      <c r="J1144" s="0" t="s">
        <v>16</v>
      </c>
      <c r="K1144" s="0" t="s">
        <v>1147</v>
      </c>
    </row>
    <row r="1145" customFormat="false" ht="12.8" hidden="false" customHeight="false" outlineLevel="0" collapsed="false">
      <c r="A1145" s="57" t="n">
        <v>46287</v>
      </c>
      <c r="B1145" s="0" t="s">
        <v>1240</v>
      </c>
      <c r="C1145" s="0" t="s">
        <v>17</v>
      </c>
      <c r="D1145" s="0" t="s">
        <v>81</v>
      </c>
      <c r="E1145" s="58" t="str">
        <f aca="false">VLOOKUP(D1145,Models!$A$2:$B$13,2,0)</f>
        <v>43-inch Smart TV</v>
      </c>
      <c r="F1145" s="0" t="s">
        <v>69</v>
      </c>
      <c r="G1145" s="58" t="str">
        <f aca="false">VLOOKUP(F1145,Countries!$A$2:$B$11,2,0)</f>
        <v>Egypt</v>
      </c>
      <c r="H1145" s="13" t="n">
        <v>8</v>
      </c>
      <c r="I1145" s="13" t="n">
        <v>62400</v>
      </c>
      <c r="J1145" s="0" t="s">
        <v>16</v>
      </c>
      <c r="K1145" s="0" t="s">
        <v>1147</v>
      </c>
    </row>
    <row r="1146" customFormat="false" ht="12.8" hidden="false" customHeight="false" outlineLevel="0" collapsed="false">
      <c r="A1146" s="57" t="n">
        <v>46287</v>
      </c>
      <c r="B1146" s="0" t="s">
        <v>1241</v>
      </c>
      <c r="C1146" s="0" t="s">
        <v>17</v>
      </c>
      <c r="D1146" s="0" t="s">
        <v>92</v>
      </c>
      <c r="E1146" s="58" t="str">
        <f aca="false">VLOOKUP(D1146,Models!$A$2:$B$13,2,0)</f>
        <v>65-inch 4K TV</v>
      </c>
      <c r="F1146" s="0" t="s">
        <v>69</v>
      </c>
      <c r="G1146" s="58" t="str">
        <f aca="false">VLOOKUP(F1146,Countries!$A$2:$B$11,2,0)</f>
        <v>Egypt</v>
      </c>
      <c r="H1146" s="13" t="n">
        <v>8</v>
      </c>
      <c r="I1146" s="13" t="n">
        <v>158400</v>
      </c>
      <c r="J1146" s="0" t="s">
        <v>16</v>
      </c>
      <c r="K1146" s="0" t="s">
        <v>1147</v>
      </c>
    </row>
    <row r="1147" customFormat="false" ht="12.8" hidden="false" customHeight="false" outlineLevel="0" collapsed="false">
      <c r="A1147" s="57" t="n">
        <v>46287</v>
      </c>
      <c r="B1147" s="0" t="s">
        <v>1242</v>
      </c>
      <c r="C1147" s="0" t="s">
        <v>17</v>
      </c>
      <c r="D1147" s="0" t="s">
        <v>90</v>
      </c>
      <c r="E1147" s="58" t="str">
        <f aca="false">VLOOKUP(D1147,Models!$A$2:$B$13,2,0)</f>
        <v>55-inch 4K TV</v>
      </c>
      <c r="F1147" s="0" t="s">
        <v>98</v>
      </c>
      <c r="G1147" s="58" t="str">
        <f aca="false">VLOOKUP(F1147,Countries!$A$2:$B$11,2,0)</f>
        <v>Libya</v>
      </c>
      <c r="H1147" s="13" t="n">
        <v>7</v>
      </c>
      <c r="I1147" s="13" t="n">
        <v>86100</v>
      </c>
      <c r="J1147" s="0" t="s">
        <v>16</v>
      </c>
      <c r="K1147" s="0" t="s">
        <v>1147</v>
      </c>
    </row>
    <row r="1148" customFormat="false" ht="12.8" hidden="false" customHeight="false" outlineLevel="0" collapsed="false">
      <c r="A1148" s="57" t="n">
        <v>46287</v>
      </c>
      <c r="B1148" s="0" t="s">
        <v>1243</v>
      </c>
      <c r="C1148" s="0" t="s">
        <v>19</v>
      </c>
      <c r="D1148" s="0" t="s">
        <v>81</v>
      </c>
      <c r="E1148" s="58" t="str">
        <f aca="false">VLOOKUP(D1148,Models!$A$2:$B$13,2,0)</f>
        <v>43-inch Smart TV</v>
      </c>
      <c r="F1148" s="0" t="s">
        <v>69</v>
      </c>
      <c r="G1148" s="58" t="str">
        <f aca="false">VLOOKUP(F1148,Countries!$A$2:$B$11,2,0)</f>
        <v>Egypt</v>
      </c>
      <c r="H1148" s="13" t="n">
        <v>36</v>
      </c>
      <c r="I1148" s="13" t="n">
        <v>280800</v>
      </c>
      <c r="J1148" s="0" t="s">
        <v>16</v>
      </c>
      <c r="K1148" s="0" t="s">
        <v>1147</v>
      </c>
    </row>
    <row r="1149" customFormat="false" ht="12.8" hidden="false" customHeight="false" outlineLevel="0" collapsed="false">
      <c r="A1149" s="57" t="n">
        <v>46287</v>
      </c>
      <c r="B1149" s="0" t="s">
        <v>1244</v>
      </c>
      <c r="C1149" s="0" t="s">
        <v>19</v>
      </c>
      <c r="D1149" s="0" t="s">
        <v>85</v>
      </c>
      <c r="E1149" s="58" t="str">
        <f aca="false">VLOOKUP(D1149,Models!$A$2:$B$13,2,0)</f>
        <v>75-inch 4K TV</v>
      </c>
      <c r="F1149" s="0" t="s">
        <v>65</v>
      </c>
      <c r="G1149" s="58" t="str">
        <f aca="false">VLOOKUP(F1149,Countries!$A$2:$B$11,2,0)</f>
        <v>Jordan</v>
      </c>
      <c r="H1149" s="13" t="n">
        <v>14</v>
      </c>
      <c r="I1149" s="13" t="n">
        <v>436800</v>
      </c>
      <c r="J1149" s="0" t="s">
        <v>16</v>
      </c>
      <c r="K1149" s="0" t="s">
        <v>1147</v>
      </c>
    </row>
    <row r="1150" customFormat="false" ht="12.8" hidden="false" customHeight="false" outlineLevel="0" collapsed="false">
      <c r="A1150" s="57" t="n">
        <v>46287</v>
      </c>
      <c r="B1150" s="0" t="s">
        <v>1245</v>
      </c>
      <c r="C1150" s="0" t="s">
        <v>19</v>
      </c>
      <c r="D1150" s="0" t="s">
        <v>71</v>
      </c>
      <c r="E1150" s="58" t="str">
        <f aca="false">VLOOKUP(D1150,Models!$A$2:$B$13,2,0)</f>
        <v>43-inch Full HD TV</v>
      </c>
      <c r="F1150" s="0" t="s">
        <v>65</v>
      </c>
      <c r="G1150" s="58" t="str">
        <f aca="false">VLOOKUP(F1150,Countries!$A$2:$B$11,2,0)</f>
        <v>Jordan</v>
      </c>
      <c r="H1150" s="13" t="n">
        <v>49</v>
      </c>
      <c r="I1150" s="13" t="n">
        <v>338100</v>
      </c>
      <c r="J1150" s="0" t="s">
        <v>16</v>
      </c>
      <c r="K1150" s="0" t="s">
        <v>1147</v>
      </c>
    </row>
    <row r="1151" customFormat="false" ht="12.8" hidden="false" customHeight="false" outlineLevel="0" collapsed="false">
      <c r="A1151" s="57" t="n">
        <v>46287</v>
      </c>
      <c r="B1151" s="0" t="s">
        <v>1246</v>
      </c>
      <c r="C1151" s="0" t="s">
        <v>19</v>
      </c>
      <c r="D1151" s="0" t="s">
        <v>92</v>
      </c>
      <c r="E1151" s="58" t="str">
        <f aca="false">VLOOKUP(D1151,Models!$A$2:$B$13,2,0)</f>
        <v>65-inch 4K TV</v>
      </c>
      <c r="F1151" s="0" t="s">
        <v>98</v>
      </c>
      <c r="G1151" s="58" t="str">
        <f aca="false">VLOOKUP(F1151,Countries!$A$2:$B$11,2,0)</f>
        <v>Libya</v>
      </c>
      <c r="H1151" s="13" t="n">
        <v>16</v>
      </c>
      <c r="I1151" s="13" t="n">
        <v>316800</v>
      </c>
      <c r="J1151" s="0" t="s">
        <v>16</v>
      </c>
      <c r="K1151" s="0" t="s">
        <v>1147</v>
      </c>
    </row>
    <row r="1152" customFormat="false" ht="12.8" hidden="false" customHeight="false" outlineLevel="0" collapsed="false">
      <c r="A1152" s="57" t="n">
        <v>46287</v>
      </c>
      <c r="B1152" s="0" t="s">
        <v>1247</v>
      </c>
      <c r="C1152" s="0" t="s">
        <v>20</v>
      </c>
      <c r="D1152" s="0" t="s">
        <v>90</v>
      </c>
      <c r="E1152" s="58" t="str">
        <f aca="false">VLOOKUP(D1152,Models!$A$2:$B$13,2,0)</f>
        <v>55-inch 4K TV</v>
      </c>
      <c r="F1152" s="0" t="s">
        <v>72</v>
      </c>
      <c r="G1152" s="58" t="str">
        <f aca="false">VLOOKUP(F1152,Countries!$A$2:$B$11,2,0)</f>
        <v>Kenya</v>
      </c>
      <c r="H1152" s="13" t="n">
        <v>12</v>
      </c>
      <c r="I1152" s="13" t="n">
        <v>147600</v>
      </c>
      <c r="J1152" s="0" t="s">
        <v>16</v>
      </c>
      <c r="K1152" s="0" t="s">
        <v>1147</v>
      </c>
    </row>
    <row r="1153" customFormat="false" ht="12.8" hidden="false" customHeight="false" outlineLevel="0" collapsed="false">
      <c r="A1153" s="57" t="n">
        <v>46287</v>
      </c>
      <c r="B1153" s="0" t="s">
        <v>1248</v>
      </c>
      <c r="C1153" s="0" t="s">
        <v>20</v>
      </c>
      <c r="D1153" s="0" t="s">
        <v>81</v>
      </c>
      <c r="E1153" s="58" t="str">
        <f aca="false">VLOOKUP(D1153,Models!$A$2:$B$13,2,0)</f>
        <v>43-inch Smart TV</v>
      </c>
      <c r="F1153" s="0" t="s">
        <v>69</v>
      </c>
      <c r="G1153" s="58" t="str">
        <f aca="false">VLOOKUP(F1153,Countries!$A$2:$B$11,2,0)</f>
        <v>Egypt</v>
      </c>
      <c r="H1153" s="13" t="n">
        <v>26</v>
      </c>
      <c r="I1153" s="13" t="n">
        <v>202800</v>
      </c>
      <c r="J1153" s="0" t="s">
        <v>16</v>
      </c>
      <c r="K1153" s="0" t="s">
        <v>1147</v>
      </c>
    </row>
    <row r="1154" customFormat="false" ht="12.8" hidden="false" customHeight="false" outlineLevel="0" collapsed="false">
      <c r="A1154" s="57" t="n">
        <v>46287</v>
      </c>
      <c r="B1154" s="0" t="s">
        <v>1249</v>
      </c>
      <c r="C1154" s="0" t="s">
        <v>21</v>
      </c>
      <c r="D1154" s="0" t="s">
        <v>109</v>
      </c>
      <c r="E1154" s="58" t="str">
        <f aca="false">VLOOKUP(D1154,Models!$A$2:$B$13,2,0)</f>
        <v>55-inch QLED TV</v>
      </c>
      <c r="F1154" s="0" t="s">
        <v>98</v>
      </c>
      <c r="G1154" s="58" t="str">
        <f aca="false">VLOOKUP(F1154,Countries!$A$2:$B$11,2,0)</f>
        <v>Libya</v>
      </c>
      <c r="H1154" s="13" t="n">
        <v>19</v>
      </c>
      <c r="I1154" s="13" t="n">
        <v>296400</v>
      </c>
      <c r="J1154" s="0" t="s">
        <v>16</v>
      </c>
      <c r="K1154" s="0" t="s">
        <v>1147</v>
      </c>
    </row>
    <row r="1155" customFormat="false" ht="12.8" hidden="false" customHeight="false" outlineLevel="0" collapsed="false">
      <c r="A1155" s="57" t="n">
        <v>46287</v>
      </c>
      <c r="B1155" s="0" t="s">
        <v>1250</v>
      </c>
      <c r="C1155" s="0" t="s">
        <v>21</v>
      </c>
      <c r="D1155" s="0" t="s">
        <v>109</v>
      </c>
      <c r="E1155" s="58" t="str">
        <f aca="false">VLOOKUP(D1155,Models!$A$2:$B$13,2,0)</f>
        <v>55-inch QLED TV</v>
      </c>
      <c r="F1155" s="0" t="s">
        <v>69</v>
      </c>
      <c r="G1155" s="58" t="str">
        <f aca="false">VLOOKUP(F1155,Countries!$A$2:$B$11,2,0)</f>
        <v>Egypt</v>
      </c>
      <c r="H1155" s="13" t="n">
        <v>11</v>
      </c>
      <c r="I1155" s="13" t="n">
        <v>171600</v>
      </c>
      <c r="J1155" s="0" t="s">
        <v>16</v>
      </c>
      <c r="K1155" s="0" t="s">
        <v>1147</v>
      </c>
    </row>
    <row r="1156" customFormat="false" ht="12.8" hidden="false" customHeight="false" outlineLevel="0" collapsed="false">
      <c r="A1156" s="57" t="n">
        <v>46287</v>
      </c>
      <c r="B1156" s="0" t="s">
        <v>1251</v>
      </c>
      <c r="C1156" s="0" t="s">
        <v>21</v>
      </c>
      <c r="D1156" s="0" t="s">
        <v>92</v>
      </c>
      <c r="E1156" s="58" t="str">
        <f aca="false">VLOOKUP(D1156,Models!$A$2:$B$13,2,0)</f>
        <v>65-inch 4K TV</v>
      </c>
      <c r="F1156" s="0" t="s">
        <v>98</v>
      </c>
      <c r="G1156" s="58" t="str">
        <f aca="false">VLOOKUP(F1156,Countries!$A$2:$B$11,2,0)</f>
        <v>Libya</v>
      </c>
      <c r="H1156" s="13" t="n">
        <v>18</v>
      </c>
      <c r="I1156" s="13" t="n">
        <v>356400</v>
      </c>
      <c r="J1156" s="0" t="s">
        <v>16</v>
      </c>
      <c r="K1156" s="0" t="s">
        <v>1147</v>
      </c>
    </row>
    <row r="1157" customFormat="false" ht="12.8" hidden="false" customHeight="false" outlineLevel="0" collapsed="false">
      <c r="A1157" s="57" t="n">
        <v>46288</v>
      </c>
      <c r="B1157" s="0" t="s">
        <v>1252</v>
      </c>
      <c r="C1157" s="0" t="s">
        <v>13</v>
      </c>
      <c r="D1157" s="0" t="s">
        <v>92</v>
      </c>
      <c r="E1157" s="58" t="str">
        <f aca="false">VLOOKUP(D1157,Models!$A$2:$B$13,2,0)</f>
        <v>65-inch 4K TV</v>
      </c>
      <c r="F1157" s="0" t="s">
        <v>177</v>
      </c>
      <c r="G1157" s="58" t="str">
        <f aca="false">VLOOKUP(F1157,Countries!$A$2:$B$11,2,0)</f>
        <v>Saudi Arabia</v>
      </c>
      <c r="H1157" s="13" t="n">
        <v>14</v>
      </c>
      <c r="I1157" s="13" t="n">
        <v>277200</v>
      </c>
      <c r="J1157" s="0" t="s">
        <v>16</v>
      </c>
      <c r="K1157" s="0" t="s">
        <v>1253</v>
      </c>
    </row>
    <row r="1158" customFormat="false" ht="12.8" hidden="false" customHeight="false" outlineLevel="0" collapsed="false">
      <c r="A1158" s="57" t="n">
        <v>46288</v>
      </c>
      <c r="B1158" s="0" t="s">
        <v>1254</v>
      </c>
      <c r="C1158" s="0" t="s">
        <v>15</v>
      </c>
      <c r="D1158" s="0" t="s">
        <v>74</v>
      </c>
      <c r="E1158" s="58" t="str">
        <f aca="false">VLOOKUP(D1158,Models!$A$2:$B$13,2,0)</f>
        <v>40-inch Full HD TV</v>
      </c>
      <c r="F1158" s="0" t="s">
        <v>69</v>
      </c>
      <c r="G1158" s="58" t="str">
        <f aca="false">VLOOKUP(F1158,Countries!$A$2:$B$11,2,0)</f>
        <v>Egypt</v>
      </c>
      <c r="H1158" s="13" t="n">
        <v>38</v>
      </c>
      <c r="I1158" s="13" t="n">
        <v>235600</v>
      </c>
      <c r="J1158" s="0" t="s">
        <v>16</v>
      </c>
      <c r="K1158" s="0" t="s">
        <v>1253</v>
      </c>
    </row>
    <row r="1159" customFormat="false" ht="12.8" hidden="false" customHeight="false" outlineLevel="0" collapsed="false">
      <c r="A1159" s="57" t="n">
        <v>46288</v>
      </c>
      <c r="B1159" s="0" t="s">
        <v>1255</v>
      </c>
      <c r="C1159" s="0" t="s">
        <v>17</v>
      </c>
      <c r="D1159" s="0" t="s">
        <v>85</v>
      </c>
      <c r="E1159" s="58" t="str">
        <f aca="false">VLOOKUP(D1159,Models!$A$2:$B$13,2,0)</f>
        <v>75-inch 4K TV</v>
      </c>
      <c r="F1159" s="0" t="s">
        <v>83</v>
      </c>
      <c r="G1159" s="58" t="str">
        <f aca="false">VLOOKUP(F1159,Countries!$A$2:$B$11,2,0)</f>
        <v>United Arab Emirates</v>
      </c>
      <c r="H1159" s="13" t="n">
        <v>16</v>
      </c>
      <c r="I1159" s="13" t="n">
        <v>499200</v>
      </c>
      <c r="J1159" s="0" t="s">
        <v>16</v>
      </c>
      <c r="K1159" s="0" t="s">
        <v>1253</v>
      </c>
    </row>
    <row r="1160" customFormat="false" ht="12.8" hidden="false" customHeight="false" outlineLevel="0" collapsed="false">
      <c r="A1160" s="57" t="n">
        <v>46288</v>
      </c>
      <c r="B1160" s="0" t="s">
        <v>1256</v>
      </c>
      <c r="C1160" s="0" t="s">
        <v>17</v>
      </c>
      <c r="D1160" s="0" t="s">
        <v>64</v>
      </c>
      <c r="E1160" s="58" t="str">
        <f aca="false">VLOOKUP(D1160,Models!$A$2:$B$13,2,0)</f>
        <v>32-inch Smart TV</v>
      </c>
      <c r="F1160" s="0" t="s">
        <v>75</v>
      </c>
      <c r="G1160" s="58" t="str">
        <f aca="false">VLOOKUP(F1160,Countries!$A$2:$B$11,2,0)</f>
        <v>Nigeria</v>
      </c>
      <c r="H1160" s="13" t="n">
        <v>52</v>
      </c>
      <c r="I1160" s="13" t="n">
        <v>239200</v>
      </c>
      <c r="J1160" s="0" t="s">
        <v>16</v>
      </c>
      <c r="K1160" s="0" t="s">
        <v>1253</v>
      </c>
    </row>
    <row r="1161" customFormat="false" ht="12.8" hidden="false" customHeight="false" outlineLevel="0" collapsed="false">
      <c r="A1161" s="57" t="n">
        <v>46288</v>
      </c>
      <c r="B1161" s="0" t="s">
        <v>1257</v>
      </c>
      <c r="C1161" s="0" t="s">
        <v>17</v>
      </c>
      <c r="D1161" s="0" t="s">
        <v>95</v>
      </c>
      <c r="E1161" s="58" t="str">
        <f aca="false">VLOOKUP(D1161,Models!$A$2:$B$13,2,0)</f>
        <v>32-inch HD TV</v>
      </c>
      <c r="F1161" s="0" t="s">
        <v>69</v>
      </c>
      <c r="G1161" s="58" t="str">
        <f aca="false">VLOOKUP(F1161,Countries!$A$2:$B$11,2,0)</f>
        <v>Egypt</v>
      </c>
      <c r="H1161" s="13" t="n">
        <v>56</v>
      </c>
      <c r="I1161" s="13" t="n">
        <v>218400</v>
      </c>
      <c r="J1161" s="0" t="s">
        <v>16</v>
      </c>
      <c r="K1161" s="0" t="s">
        <v>1253</v>
      </c>
    </row>
    <row r="1162" customFormat="false" ht="12.8" hidden="false" customHeight="false" outlineLevel="0" collapsed="false">
      <c r="A1162" s="57" t="n">
        <v>46288</v>
      </c>
      <c r="B1162" s="0" t="s">
        <v>1258</v>
      </c>
      <c r="C1162" s="0" t="s">
        <v>17</v>
      </c>
      <c r="D1162" s="0" t="s">
        <v>109</v>
      </c>
      <c r="E1162" s="58" t="str">
        <f aca="false">VLOOKUP(D1162,Models!$A$2:$B$13,2,0)</f>
        <v>55-inch QLED TV</v>
      </c>
      <c r="F1162" s="0" t="s">
        <v>69</v>
      </c>
      <c r="G1162" s="58" t="str">
        <f aca="false">VLOOKUP(F1162,Countries!$A$2:$B$11,2,0)</f>
        <v>Egypt</v>
      </c>
      <c r="H1162" s="13" t="n">
        <v>6</v>
      </c>
      <c r="I1162" s="13" t="n">
        <v>93600</v>
      </c>
      <c r="J1162" s="0" t="s">
        <v>16</v>
      </c>
      <c r="K1162" s="0" t="s">
        <v>1253</v>
      </c>
    </row>
    <row r="1163" customFormat="false" ht="12.8" hidden="false" customHeight="false" outlineLevel="0" collapsed="false">
      <c r="A1163" s="57" t="n">
        <v>46288</v>
      </c>
      <c r="B1163" s="0" t="s">
        <v>1259</v>
      </c>
      <c r="C1163" s="0" t="s">
        <v>19</v>
      </c>
      <c r="D1163" s="0" t="s">
        <v>74</v>
      </c>
      <c r="E1163" s="58" t="str">
        <f aca="false">VLOOKUP(D1163,Models!$A$2:$B$13,2,0)</f>
        <v>40-inch Full HD TV</v>
      </c>
      <c r="F1163" s="0" t="s">
        <v>98</v>
      </c>
      <c r="G1163" s="58" t="str">
        <f aca="false">VLOOKUP(F1163,Countries!$A$2:$B$11,2,0)</f>
        <v>Libya</v>
      </c>
      <c r="H1163" s="13" t="n">
        <v>15</v>
      </c>
      <c r="I1163" s="13" t="n">
        <v>93000</v>
      </c>
      <c r="J1163" s="0" t="s">
        <v>16</v>
      </c>
      <c r="K1163" s="0" t="s">
        <v>1253</v>
      </c>
    </row>
    <row r="1164" customFormat="false" ht="12.8" hidden="false" customHeight="false" outlineLevel="0" collapsed="false">
      <c r="A1164" s="57" t="n">
        <v>46288</v>
      </c>
      <c r="B1164" s="0" t="s">
        <v>1260</v>
      </c>
      <c r="C1164" s="0" t="s">
        <v>19</v>
      </c>
      <c r="D1164" s="0" t="s">
        <v>71</v>
      </c>
      <c r="E1164" s="58" t="str">
        <f aca="false">VLOOKUP(D1164,Models!$A$2:$B$13,2,0)</f>
        <v>43-inch Full HD TV</v>
      </c>
      <c r="F1164" s="0" t="s">
        <v>75</v>
      </c>
      <c r="G1164" s="58" t="str">
        <f aca="false">VLOOKUP(F1164,Countries!$A$2:$B$11,2,0)</f>
        <v>Nigeria</v>
      </c>
      <c r="H1164" s="13" t="n">
        <v>17</v>
      </c>
      <c r="I1164" s="13" t="n">
        <v>117300</v>
      </c>
      <c r="J1164" s="0" t="s">
        <v>16</v>
      </c>
      <c r="K1164" s="0" t="s">
        <v>1253</v>
      </c>
    </row>
    <row r="1165" customFormat="false" ht="12.8" hidden="false" customHeight="false" outlineLevel="0" collapsed="false">
      <c r="A1165" s="57" t="n">
        <v>46288</v>
      </c>
      <c r="B1165" s="0" t="s">
        <v>1261</v>
      </c>
      <c r="C1165" s="0" t="s">
        <v>20</v>
      </c>
      <c r="D1165" s="0" t="s">
        <v>109</v>
      </c>
      <c r="E1165" s="58" t="str">
        <f aca="false">VLOOKUP(D1165,Models!$A$2:$B$13,2,0)</f>
        <v>55-inch QLED TV</v>
      </c>
      <c r="F1165" s="0" t="s">
        <v>69</v>
      </c>
      <c r="G1165" s="58" t="str">
        <f aca="false">VLOOKUP(F1165,Countries!$A$2:$B$11,2,0)</f>
        <v>Egypt</v>
      </c>
      <c r="H1165" s="13" t="n">
        <v>28</v>
      </c>
      <c r="I1165" s="13" t="n">
        <v>436800</v>
      </c>
      <c r="J1165" s="0" t="s">
        <v>16</v>
      </c>
      <c r="K1165" s="0" t="s">
        <v>1253</v>
      </c>
    </row>
    <row r="1166" customFormat="false" ht="12.8" hidden="false" customHeight="false" outlineLevel="0" collapsed="false">
      <c r="A1166" s="57" t="n">
        <v>46288</v>
      </c>
      <c r="B1166" s="0" t="s">
        <v>1262</v>
      </c>
      <c r="C1166" s="0" t="s">
        <v>21</v>
      </c>
      <c r="D1166" s="0" t="s">
        <v>109</v>
      </c>
      <c r="E1166" s="58" t="str">
        <f aca="false">VLOOKUP(D1166,Models!$A$2:$B$13,2,0)</f>
        <v>55-inch QLED TV</v>
      </c>
      <c r="F1166" s="0" t="s">
        <v>69</v>
      </c>
      <c r="G1166" s="58" t="str">
        <f aca="false">VLOOKUP(F1166,Countries!$A$2:$B$11,2,0)</f>
        <v>Egypt</v>
      </c>
      <c r="H1166" s="13" t="n">
        <v>20</v>
      </c>
      <c r="I1166" s="13" t="n">
        <v>312000</v>
      </c>
      <c r="J1166" s="0" t="s">
        <v>16</v>
      </c>
      <c r="K1166" s="0" t="s">
        <v>1253</v>
      </c>
    </row>
    <row r="1167" customFormat="false" ht="12.8" hidden="false" customHeight="false" outlineLevel="0" collapsed="false">
      <c r="A1167" s="57" t="n">
        <v>46288</v>
      </c>
      <c r="B1167" s="0" t="s">
        <v>1263</v>
      </c>
      <c r="C1167" s="0" t="s">
        <v>21</v>
      </c>
      <c r="D1167" s="0" t="s">
        <v>92</v>
      </c>
      <c r="E1167" s="58" t="str">
        <f aca="false">VLOOKUP(D1167,Models!$A$2:$B$13,2,0)</f>
        <v>65-inch 4K TV</v>
      </c>
      <c r="F1167" s="0" t="s">
        <v>69</v>
      </c>
      <c r="G1167" s="58" t="str">
        <f aca="false">VLOOKUP(F1167,Countries!$A$2:$B$11,2,0)</f>
        <v>Egypt</v>
      </c>
      <c r="H1167" s="13" t="n">
        <v>10</v>
      </c>
      <c r="I1167" s="13" t="n">
        <v>198000</v>
      </c>
      <c r="J1167" s="0" t="s">
        <v>16</v>
      </c>
      <c r="K1167" s="0" t="s">
        <v>1253</v>
      </c>
    </row>
    <row r="1168" customFormat="false" ht="12.8" hidden="false" customHeight="false" outlineLevel="0" collapsed="false">
      <c r="A1168" s="57" t="n">
        <v>46288</v>
      </c>
      <c r="B1168" s="0" t="s">
        <v>1264</v>
      </c>
      <c r="C1168" s="0" t="s">
        <v>21</v>
      </c>
      <c r="D1168" s="0" t="s">
        <v>88</v>
      </c>
      <c r="E1168" s="58" t="str">
        <f aca="false">VLOOKUP(D1168,Models!$A$2:$B$13,2,0)</f>
        <v>24-inch HD TV</v>
      </c>
      <c r="F1168" s="0" t="s">
        <v>69</v>
      </c>
      <c r="G1168" s="58" t="str">
        <f aca="false">VLOOKUP(F1168,Countries!$A$2:$B$11,2,0)</f>
        <v>Egypt</v>
      </c>
      <c r="H1168" s="13" t="n">
        <v>22</v>
      </c>
      <c r="I1168" s="13" t="n">
        <v>63800</v>
      </c>
      <c r="J1168" s="0" t="s">
        <v>16</v>
      </c>
      <c r="K1168" s="0" t="s">
        <v>1253</v>
      </c>
    </row>
    <row r="1169" customFormat="false" ht="12.8" hidden="false" customHeight="false" outlineLevel="0" collapsed="false">
      <c r="A1169" s="57" t="n">
        <v>46289</v>
      </c>
      <c r="B1169" s="0" t="s">
        <v>1265</v>
      </c>
      <c r="C1169" s="0" t="s">
        <v>13</v>
      </c>
      <c r="D1169" s="0" t="s">
        <v>71</v>
      </c>
      <c r="E1169" s="58" t="str">
        <f aca="false">VLOOKUP(D1169,Models!$A$2:$B$13,2,0)</f>
        <v>43-inch Full HD TV</v>
      </c>
      <c r="F1169" s="0" t="s">
        <v>83</v>
      </c>
      <c r="G1169" s="58" t="str">
        <f aca="false">VLOOKUP(F1169,Countries!$A$2:$B$11,2,0)</f>
        <v>United Arab Emirates</v>
      </c>
      <c r="H1169" s="13" t="n">
        <v>28</v>
      </c>
      <c r="I1169" s="13" t="n">
        <v>193200</v>
      </c>
      <c r="J1169" s="0" t="s">
        <v>16</v>
      </c>
      <c r="K1169" s="0" t="s">
        <v>1253</v>
      </c>
    </row>
    <row r="1170" customFormat="false" ht="12.8" hidden="false" customHeight="false" outlineLevel="0" collapsed="false">
      <c r="A1170" s="57" t="n">
        <v>46289</v>
      </c>
      <c r="B1170" s="0" t="s">
        <v>1266</v>
      </c>
      <c r="C1170" s="0" t="s">
        <v>13</v>
      </c>
      <c r="D1170" s="0" t="s">
        <v>109</v>
      </c>
      <c r="E1170" s="58" t="str">
        <f aca="false">VLOOKUP(D1170,Models!$A$2:$B$13,2,0)</f>
        <v>55-inch QLED TV</v>
      </c>
      <c r="F1170" s="0" t="s">
        <v>69</v>
      </c>
      <c r="G1170" s="58" t="str">
        <f aca="false">VLOOKUP(F1170,Countries!$A$2:$B$11,2,0)</f>
        <v>Egypt</v>
      </c>
      <c r="H1170" s="13" t="n">
        <v>11</v>
      </c>
      <c r="I1170" s="13" t="n">
        <v>171600</v>
      </c>
      <c r="J1170" s="0" t="s">
        <v>16</v>
      </c>
      <c r="K1170" s="0" t="s">
        <v>1253</v>
      </c>
    </row>
    <row r="1171" customFormat="false" ht="12.8" hidden="false" customHeight="false" outlineLevel="0" collapsed="false">
      <c r="A1171" s="57" t="n">
        <v>46289</v>
      </c>
      <c r="B1171" s="0" t="s">
        <v>1267</v>
      </c>
      <c r="C1171" s="0" t="s">
        <v>13</v>
      </c>
      <c r="D1171" s="0" t="s">
        <v>88</v>
      </c>
      <c r="E1171" s="58" t="str">
        <f aca="false">VLOOKUP(D1171,Models!$A$2:$B$13,2,0)</f>
        <v>24-inch HD TV</v>
      </c>
      <c r="F1171" s="0" t="s">
        <v>69</v>
      </c>
      <c r="G1171" s="58" t="str">
        <f aca="false">VLOOKUP(F1171,Countries!$A$2:$B$11,2,0)</f>
        <v>Egypt</v>
      </c>
      <c r="H1171" s="13" t="n">
        <v>26</v>
      </c>
      <c r="I1171" s="13" t="n">
        <v>75400</v>
      </c>
      <c r="J1171" s="0" t="s">
        <v>16</v>
      </c>
      <c r="K1171" s="0" t="s">
        <v>1253</v>
      </c>
    </row>
    <row r="1172" customFormat="false" ht="12.8" hidden="false" customHeight="false" outlineLevel="0" collapsed="false">
      <c r="A1172" s="57" t="n">
        <v>46289</v>
      </c>
      <c r="B1172" s="0" t="s">
        <v>1268</v>
      </c>
      <c r="C1172" s="0" t="s">
        <v>13</v>
      </c>
      <c r="D1172" s="0" t="s">
        <v>81</v>
      </c>
      <c r="E1172" s="58" t="str">
        <f aca="false">VLOOKUP(D1172,Models!$A$2:$B$13,2,0)</f>
        <v>43-inch Smart TV</v>
      </c>
      <c r="F1172" s="0" t="s">
        <v>69</v>
      </c>
      <c r="G1172" s="58" t="str">
        <f aca="false">VLOOKUP(F1172,Countries!$A$2:$B$11,2,0)</f>
        <v>Egypt</v>
      </c>
      <c r="H1172" s="13" t="n">
        <v>44</v>
      </c>
      <c r="I1172" s="13" t="n">
        <v>343200</v>
      </c>
      <c r="J1172" s="0" t="s">
        <v>16</v>
      </c>
      <c r="K1172" s="0" t="s">
        <v>1253</v>
      </c>
    </row>
    <row r="1173" customFormat="false" ht="12.8" hidden="false" customHeight="false" outlineLevel="0" collapsed="false">
      <c r="A1173" s="57" t="n">
        <v>46289</v>
      </c>
      <c r="B1173" s="0" t="s">
        <v>1269</v>
      </c>
      <c r="C1173" s="0" t="s">
        <v>15</v>
      </c>
      <c r="D1173" s="0" t="s">
        <v>92</v>
      </c>
      <c r="E1173" s="58" t="str">
        <f aca="false">VLOOKUP(D1173,Models!$A$2:$B$13,2,0)</f>
        <v>65-inch 4K TV</v>
      </c>
      <c r="F1173" s="0" t="s">
        <v>69</v>
      </c>
      <c r="G1173" s="58" t="str">
        <f aca="false">VLOOKUP(F1173,Countries!$A$2:$B$11,2,0)</f>
        <v>Egypt</v>
      </c>
      <c r="H1173" s="13" t="n">
        <v>5</v>
      </c>
      <c r="I1173" s="13" t="n">
        <v>99000</v>
      </c>
      <c r="J1173" s="0" t="s">
        <v>16</v>
      </c>
      <c r="K1173" s="0" t="s">
        <v>1253</v>
      </c>
    </row>
    <row r="1174" customFormat="false" ht="12.8" hidden="false" customHeight="false" outlineLevel="0" collapsed="false">
      <c r="A1174" s="57" t="n">
        <v>46289</v>
      </c>
      <c r="B1174" s="0" t="s">
        <v>1270</v>
      </c>
      <c r="C1174" s="0" t="s">
        <v>15</v>
      </c>
      <c r="D1174" s="0" t="s">
        <v>64</v>
      </c>
      <c r="E1174" s="58" t="str">
        <f aca="false">VLOOKUP(D1174,Models!$A$2:$B$13,2,0)</f>
        <v>32-inch Smart TV</v>
      </c>
      <c r="F1174" s="0" t="s">
        <v>69</v>
      </c>
      <c r="G1174" s="58" t="str">
        <f aca="false">VLOOKUP(F1174,Countries!$A$2:$B$11,2,0)</f>
        <v>Egypt</v>
      </c>
      <c r="H1174" s="13" t="n">
        <v>7</v>
      </c>
      <c r="I1174" s="13" t="n">
        <v>32200</v>
      </c>
      <c r="J1174" s="0" t="s">
        <v>16</v>
      </c>
      <c r="K1174" s="0" t="s">
        <v>1253</v>
      </c>
    </row>
    <row r="1175" customFormat="false" ht="12.8" hidden="false" customHeight="false" outlineLevel="0" collapsed="false">
      <c r="A1175" s="57" t="n">
        <v>46289</v>
      </c>
      <c r="B1175" s="0" t="s">
        <v>1271</v>
      </c>
      <c r="C1175" s="0" t="s">
        <v>17</v>
      </c>
      <c r="D1175" s="0" t="s">
        <v>92</v>
      </c>
      <c r="E1175" s="58" t="str">
        <f aca="false">VLOOKUP(D1175,Models!$A$2:$B$13,2,0)</f>
        <v>65-inch 4K TV</v>
      </c>
      <c r="F1175" s="0" t="s">
        <v>101</v>
      </c>
      <c r="G1175" s="58" t="str">
        <f aca="false">VLOOKUP(F1175,Countries!$A$2:$B$11,2,0)</f>
        <v>Kuwait</v>
      </c>
      <c r="H1175" s="13" t="n">
        <v>8</v>
      </c>
      <c r="I1175" s="13" t="n">
        <v>158400</v>
      </c>
      <c r="J1175" s="0" t="s">
        <v>16</v>
      </c>
      <c r="K1175" s="0" t="s">
        <v>1253</v>
      </c>
    </row>
    <row r="1176" customFormat="false" ht="12.8" hidden="false" customHeight="false" outlineLevel="0" collapsed="false">
      <c r="A1176" s="57" t="n">
        <v>46289</v>
      </c>
      <c r="B1176" s="0" t="s">
        <v>1272</v>
      </c>
      <c r="C1176" s="0" t="s">
        <v>17</v>
      </c>
      <c r="D1176" s="0" t="s">
        <v>77</v>
      </c>
      <c r="E1176" s="58" t="str">
        <f aca="false">VLOOKUP(D1176,Models!$A$2:$B$13,2,0)</f>
        <v>65-inch QLED TV</v>
      </c>
      <c r="F1176" s="0" t="s">
        <v>69</v>
      </c>
      <c r="G1176" s="58" t="str">
        <f aca="false">VLOOKUP(F1176,Countries!$A$2:$B$11,2,0)</f>
        <v>Egypt</v>
      </c>
      <c r="H1176" s="13" t="n">
        <v>22</v>
      </c>
      <c r="I1176" s="13" t="n">
        <v>539000</v>
      </c>
      <c r="J1176" s="0" t="s">
        <v>16</v>
      </c>
      <c r="K1176" s="0" t="s">
        <v>1253</v>
      </c>
    </row>
    <row r="1177" customFormat="false" ht="12.8" hidden="false" customHeight="false" outlineLevel="0" collapsed="false">
      <c r="A1177" s="57" t="n">
        <v>46289</v>
      </c>
      <c r="B1177" s="0" t="s">
        <v>1273</v>
      </c>
      <c r="C1177" s="0" t="s">
        <v>17</v>
      </c>
      <c r="D1177" s="0" t="s">
        <v>109</v>
      </c>
      <c r="E1177" s="58" t="str">
        <f aca="false">VLOOKUP(D1177,Models!$A$2:$B$13,2,0)</f>
        <v>55-inch QLED TV</v>
      </c>
      <c r="F1177" s="0" t="s">
        <v>69</v>
      </c>
      <c r="G1177" s="58" t="str">
        <f aca="false">VLOOKUP(F1177,Countries!$A$2:$B$11,2,0)</f>
        <v>Egypt</v>
      </c>
      <c r="H1177" s="13" t="n">
        <v>20</v>
      </c>
      <c r="I1177" s="13" t="n">
        <v>312000</v>
      </c>
      <c r="J1177" s="0" t="s">
        <v>16</v>
      </c>
      <c r="K1177" s="0" t="s">
        <v>1253</v>
      </c>
    </row>
    <row r="1178" customFormat="false" ht="12.8" hidden="false" customHeight="false" outlineLevel="0" collapsed="false">
      <c r="A1178" s="57" t="n">
        <v>46289</v>
      </c>
      <c r="B1178" s="0" t="s">
        <v>1274</v>
      </c>
      <c r="C1178" s="0" t="s">
        <v>17</v>
      </c>
      <c r="D1178" s="0" t="s">
        <v>90</v>
      </c>
      <c r="E1178" s="58" t="str">
        <f aca="false">VLOOKUP(D1178,Models!$A$2:$B$13,2,0)</f>
        <v>55-inch 4K TV</v>
      </c>
      <c r="F1178" s="0" t="s">
        <v>69</v>
      </c>
      <c r="G1178" s="58" t="str">
        <f aca="false">VLOOKUP(F1178,Countries!$A$2:$B$11,2,0)</f>
        <v>Egypt</v>
      </c>
      <c r="H1178" s="13" t="n">
        <v>28</v>
      </c>
      <c r="I1178" s="13" t="n">
        <v>344400</v>
      </c>
      <c r="J1178" s="0" t="s">
        <v>16</v>
      </c>
      <c r="K1178" s="0" t="s">
        <v>1253</v>
      </c>
    </row>
    <row r="1179" customFormat="false" ht="12.8" hidden="false" customHeight="false" outlineLevel="0" collapsed="false">
      <c r="A1179" s="57" t="n">
        <v>46289</v>
      </c>
      <c r="B1179" s="0" t="s">
        <v>1275</v>
      </c>
      <c r="C1179" s="0" t="s">
        <v>19</v>
      </c>
      <c r="D1179" s="0" t="s">
        <v>92</v>
      </c>
      <c r="E1179" s="58" t="str">
        <f aca="false">VLOOKUP(D1179,Models!$A$2:$B$13,2,0)</f>
        <v>65-inch 4K TV</v>
      </c>
      <c r="F1179" s="0" t="s">
        <v>65</v>
      </c>
      <c r="G1179" s="58" t="str">
        <f aca="false">VLOOKUP(F1179,Countries!$A$2:$B$11,2,0)</f>
        <v>Jordan</v>
      </c>
      <c r="H1179" s="13" t="n">
        <v>22</v>
      </c>
      <c r="I1179" s="13" t="n">
        <v>435600</v>
      </c>
      <c r="J1179" s="0" t="s">
        <v>16</v>
      </c>
      <c r="K1179" s="0" t="s">
        <v>1253</v>
      </c>
    </row>
    <row r="1180" customFormat="false" ht="12.8" hidden="false" customHeight="false" outlineLevel="0" collapsed="false">
      <c r="A1180" s="57" t="n">
        <v>46289</v>
      </c>
      <c r="B1180" s="0" t="s">
        <v>1276</v>
      </c>
      <c r="C1180" s="0" t="s">
        <v>19</v>
      </c>
      <c r="D1180" s="0" t="s">
        <v>109</v>
      </c>
      <c r="E1180" s="58" t="str">
        <f aca="false">VLOOKUP(D1180,Models!$A$2:$B$13,2,0)</f>
        <v>55-inch QLED TV</v>
      </c>
      <c r="F1180" s="0" t="s">
        <v>69</v>
      </c>
      <c r="G1180" s="58" t="str">
        <f aca="false">VLOOKUP(F1180,Countries!$A$2:$B$11,2,0)</f>
        <v>Egypt</v>
      </c>
      <c r="H1180" s="13" t="n">
        <v>17</v>
      </c>
      <c r="I1180" s="13" t="n">
        <v>265200</v>
      </c>
      <c r="J1180" s="0" t="s">
        <v>16</v>
      </c>
      <c r="K1180" s="0" t="s">
        <v>1253</v>
      </c>
    </row>
    <row r="1181" customFormat="false" ht="12.8" hidden="false" customHeight="false" outlineLevel="0" collapsed="false">
      <c r="A1181" s="57" t="n">
        <v>46289</v>
      </c>
      <c r="B1181" s="0" t="s">
        <v>1277</v>
      </c>
      <c r="C1181" s="0" t="s">
        <v>19</v>
      </c>
      <c r="D1181" s="0" t="s">
        <v>71</v>
      </c>
      <c r="E1181" s="58" t="str">
        <f aca="false">VLOOKUP(D1181,Models!$A$2:$B$13,2,0)</f>
        <v>43-inch Full HD TV</v>
      </c>
      <c r="F1181" s="0" t="s">
        <v>69</v>
      </c>
      <c r="G1181" s="58" t="str">
        <f aca="false">VLOOKUP(F1181,Countries!$A$2:$B$11,2,0)</f>
        <v>Egypt</v>
      </c>
      <c r="H1181" s="13" t="n">
        <v>14</v>
      </c>
      <c r="I1181" s="13" t="n">
        <v>96600</v>
      </c>
      <c r="J1181" s="0" t="s">
        <v>16</v>
      </c>
      <c r="K1181" s="0" t="s">
        <v>1253</v>
      </c>
    </row>
    <row r="1182" customFormat="false" ht="12.8" hidden="false" customHeight="false" outlineLevel="0" collapsed="false">
      <c r="A1182" s="57" t="n">
        <v>46289</v>
      </c>
      <c r="B1182" s="0" t="s">
        <v>1278</v>
      </c>
      <c r="C1182" s="0" t="s">
        <v>20</v>
      </c>
      <c r="D1182" s="0" t="s">
        <v>81</v>
      </c>
      <c r="E1182" s="58" t="str">
        <f aca="false">VLOOKUP(D1182,Models!$A$2:$B$13,2,0)</f>
        <v>43-inch Smart TV</v>
      </c>
      <c r="F1182" s="0" t="s">
        <v>69</v>
      </c>
      <c r="G1182" s="58" t="str">
        <f aca="false">VLOOKUP(F1182,Countries!$A$2:$B$11,2,0)</f>
        <v>Egypt</v>
      </c>
      <c r="H1182" s="13" t="n">
        <v>13</v>
      </c>
      <c r="I1182" s="13" t="n">
        <v>101400</v>
      </c>
      <c r="J1182" s="0" t="s">
        <v>16</v>
      </c>
      <c r="K1182" s="0" t="s">
        <v>1253</v>
      </c>
    </row>
    <row r="1183" customFormat="false" ht="12.8" hidden="false" customHeight="false" outlineLevel="0" collapsed="false">
      <c r="A1183" s="57" t="n">
        <v>46289</v>
      </c>
      <c r="B1183" s="0" t="s">
        <v>1279</v>
      </c>
      <c r="C1183" s="0" t="s">
        <v>20</v>
      </c>
      <c r="D1183" s="0" t="s">
        <v>85</v>
      </c>
      <c r="E1183" s="58" t="str">
        <f aca="false">VLOOKUP(D1183,Models!$A$2:$B$13,2,0)</f>
        <v>75-inch 4K TV</v>
      </c>
      <c r="F1183" s="0" t="s">
        <v>69</v>
      </c>
      <c r="G1183" s="58" t="str">
        <f aca="false">VLOOKUP(F1183,Countries!$A$2:$B$11,2,0)</f>
        <v>Egypt</v>
      </c>
      <c r="H1183" s="13" t="n">
        <v>13</v>
      </c>
      <c r="I1183" s="13" t="n">
        <v>405600</v>
      </c>
      <c r="J1183" s="0" t="s">
        <v>16</v>
      </c>
      <c r="K1183" s="0" t="s">
        <v>1253</v>
      </c>
    </row>
    <row r="1184" customFormat="false" ht="12.8" hidden="false" customHeight="false" outlineLevel="0" collapsed="false">
      <c r="A1184" s="57" t="n">
        <v>46289</v>
      </c>
      <c r="B1184" s="0" t="s">
        <v>1280</v>
      </c>
      <c r="C1184" s="0" t="s">
        <v>20</v>
      </c>
      <c r="D1184" s="0" t="s">
        <v>88</v>
      </c>
      <c r="E1184" s="58" t="str">
        <f aca="false">VLOOKUP(D1184,Models!$A$2:$B$13,2,0)</f>
        <v>24-inch HD TV</v>
      </c>
      <c r="F1184" s="0" t="s">
        <v>75</v>
      </c>
      <c r="G1184" s="58" t="str">
        <f aca="false">VLOOKUP(F1184,Countries!$A$2:$B$11,2,0)</f>
        <v>Nigeria</v>
      </c>
      <c r="H1184" s="13" t="n">
        <v>31</v>
      </c>
      <c r="I1184" s="13" t="n">
        <v>89900</v>
      </c>
      <c r="J1184" s="0" t="s">
        <v>16</v>
      </c>
      <c r="K1184" s="0" t="s">
        <v>1253</v>
      </c>
    </row>
    <row r="1185" customFormat="false" ht="12.8" hidden="false" customHeight="false" outlineLevel="0" collapsed="false">
      <c r="A1185" s="57" t="n">
        <v>46289</v>
      </c>
      <c r="B1185" s="0" t="s">
        <v>1281</v>
      </c>
      <c r="C1185" s="0" t="s">
        <v>20</v>
      </c>
      <c r="D1185" s="0" t="s">
        <v>68</v>
      </c>
      <c r="E1185" s="58" t="str">
        <f aca="false">VLOOKUP(D1185,Models!$A$2:$B$13,2,0)</f>
        <v>50-inch 4K TV</v>
      </c>
      <c r="F1185" s="0" t="s">
        <v>69</v>
      </c>
      <c r="G1185" s="58" t="str">
        <f aca="false">VLOOKUP(F1185,Countries!$A$2:$B$11,2,0)</f>
        <v>Egypt</v>
      </c>
      <c r="H1185" s="13" t="n">
        <v>11</v>
      </c>
      <c r="I1185" s="13" t="n">
        <v>114400</v>
      </c>
      <c r="J1185" s="0" t="s">
        <v>16</v>
      </c>
      <c r="K1185" s="0" t="s">
        <v>1253</v>
      </c>
    </row>
    <row r="1186" customFormat="false" ht="12.8" hidden="false" customHeight="false" outlineLevel="0" collapsed="false">
      <c r="A1186" s="57" t="n">
        <v>46289</v>
      </c>
      <c r="B1186" s="0" t="s">
        <v>1282</v>
      </c>
      <c r="C1186" s="0" t="s">
        <v>21</v>
      </c>
      <c r="D1186" s="0" t="s">
        <v>85</v>
      </c>
      <c r="E1186" s="58" t="str">
        <f aca="false">VLOOKUP(D1186,Models!$A$2:$B$13,2,0)</f>
        <v>75-inch 4K TV</v>
      </c>
      <c r="F1186" s="0" t="s">
        <v>177</v>
      </c>
      <c r="G1186" s="58" t="str">
        <f aca="false">VLOOKUP(F1186,Countries!$A$2:$B$11,2,0)</f>
        <v>Saudi Arabia</v>
      </c>
      <c r="H1186" s="13" t="n">
        <v>10</v>
      </c>
      <c r="I1186" s="13" t="n">
        <v>312000</v>
      </c>
      <c r="J1186" s="0" t="s">
        <v>16</v>
      </c>
      <c r="K1186" s="0" t="s">
        <v>1253</v>
      </c>
    </row>
    <row r="1187" customFormat="false" ht="12.8" hidden="false" customHeight="false" outlineLevel="0" collapsed="false">
      <c r="A1187" s="57" t="n">
        <v>46289</v>
      </c>
      <c r="B1187" s="0" t="s">
        <v>1283</v>
      </c>
      <c r="C1187" s="0" t="s">
        <v>21</v>
      </c>
      <c r="D1187" s="0" t="s">
        <v>68</v>
      </c>
      <c r="E1187" s="58" t="str">
        <f aca="false">VLOOKUP(D1187,Models!$A$2:$B$13,2,0)</f>
        <v>50-inch 4K TV</v>
      </c>
      <c r="F1187" s="0" t="s">
        <v>69</v>
      </c>
      <c r="G1187" s="58" t="str">
        <f aca="false">VLOOKUP(F1187,Countries!$A$2:$B$11,2,0)</f>
        <v>Egypt</v>
      </c>
      <c r="H1187" s="13" t="n">
        <v>26</v>
      </c>
      <c r="I1187" s="13" t="n">
        <v>270400</v>
      </c>
      <c r="J1187" s="0" t="s">
        <v>16</v>
      </c>
      <c r="K1187" s="0" t="s">
        <v>1253</v>
      </c>
    </row>
    <row r="1188" customFormat="false" ht="12.8" hidden="false" customHeight="false" outlineLevel="0" collapsed="false">
      <c r="A1188" s="57" t="n">
        <v>46291</v>
      </c>
      <c r="B1188" s="0" t="s">
        <v>1284</v>
      </c>
      <c r="C1188" s="0" t="s">
        <v>13</v>
      </c>
      <c r="D1188" s="0" t="s">
        <v>92</v>
      </c>
      <c r="E1188" s="58" t="str">
        <f aca="false">VLOOKUP(D1188,Models!$A$2:$B$13,2,0)</f>
        <v>65-inch 4K TV</v>
      </c>
      <c r="F1188" s="0" t="s">
        <v>69</v>
      </c>
      <c r="G1188" s="58" t="str">
        <f aca="false">VLOOKUP(F1188,Countries!$A$2:$B$11,2,0)</f>
        <v>Egypt</v>
      </c>
      <c r="H1188" s="13" t="n">
        <v>12</v>
      </c>
      <c r="I1188" s="13" t="n">
        <v>237600</v>
      </c>
      <c r="J1188" s="0" t="s">
        <v>16</v>
      </c>
      <c r="K1188" s="0" t="s">
        <v>1253</v>
      </c>
    </row>
    <row r="1189" customFormat="false" ht="12.8" hidden="false" customHeight="false" outlineLevel="0" collapsed="false">
      <c r="A1189" s="57" t="n">
        <v>46291</v>
      </c>
      <c r="B1189" s="0" t="s">
        <v>1285</v>
      </c>
      <c r="C1189" s="0" t="s">
        <v>13</v>
      </c>
      <c r="D1189" s="0" t="s">
        <v>68</v>
      </c>
      <c r="E1189" s="58" t="str">
        <f aca="false">VLOOKUP(D1189,Models!$A$2:$B$13,2,0)</f>
        <v>50-inch 4K TV</v>
      </c>
      <c r="F1189" s="0" t="s">
        <v>98</v>
      </c>
      <c r="G1189" s="58" t="str">
        <f aca="false">VLOOKUP(F1189,Countries!$A$2:$B$11,2,0)</f>
        <v>Libya</v>
      </c>
      <c r="H1189" s="13" t="n">
        <v>22</v>
      </c>
      <c r="I1189" s="13" t="n">
        <v>228800</v>
      </c>
      <c r="J1189" s="0" t="s">
        <v>16</v>
      </c>
      <c r="K1189" s="0" t="s">
        <v>1253</v>
      </c>
    </row>
    <row r="1190" customFormat="false" ht="12.8" hidden="false" customHeight="false" outlineLevel="0" collapsed="false">
      <c r="A1190" s="57" t="n">
        <v>46291</v>
      </c>
      <c r="B1190" s="0" t="s">
        <v>1286</v>
      </c>
      <c r="C1190" s="0" t="s">
        <v>13</v>
      </c>
      <c r="D1190" s="0" t="s">
        <v>77</v>
      </c>
      <c r="E1190" s="58" t="str">
        <f aca="false">VLOOKUP(D1190,Models!$A$2:$B$13,2,0)</f>
        <v>65-inch QLED TV</v>
      </c>
      <c r="F1190" s="0" t="s">
        <v>98</v>
      </c>
      <c r="G1190" s="58" t="str">
        <f aca="false">VLOOKUP(F1190,Countries!$A$2:$B$11,2,0)</f>
        <v>Libya</v>
      </c>
      <c r="H1190" s="13" t="n">
        <v>17</v>
      </c>
      <c r="I1190" s="13" t="n">
        <v>416500</v>
      </c>
      <c r="J1190" s="0" t="s">
        <v>16</v>
      </c>
      <c r="K1190" s="0" t="s">
        <v>1253</v>
      </c>
    </row>
    <row r="1191" customFormat="false" ht="12.8" hidden="false" customHeight="false" outlineLevel="0" collapsed="false">
      <c r="A1191" s="57" t="n">
        <v>46291</v>
      </c>
      <c r="B1191" s="0" t="s">
        <v>1287</v>
      </c>
      <c r="C1191" s="0" t="s">
        <v>13</v>
      </c>
      <c r="D1191" s="0" t="s">
        <v>64</v>
      </c>
      <c r="E1191" s="58" t="str">
        <f aca="false">VLOOKUP(D1191,Models!$A$2:$B$13,2,0)</f>
        <v>32-inch Smart TV</v>
      </c>
      <c r="F1191" s="0" t="s">
        <v>69</v>
      </c>
      <c r="G1191" s="58" t="str">
        <f aca="false">VLOOKUP(F1191,Countries!$A$2:$B$11,2,0)</f>
        <v>Egypt</v>
      </c>
      <c r="H1191" s="13" t="n">
        <v>43</v>
      </c>
      <c r="I1191" s="13" t="n">
        <v>197800</v>
      </c>
      <c r="J1191" s="0" t="s">
        <v>16</v>
      </c>
      <c r="K1191" s="0" t="s">
        <v>1253</v>
      </c>
    </row>
    <row r="1192" customFormat="false" ht="12.8" hidden="false" customHeight="false" outlineLevel="0" collapsed="false">
      <c r="A1192" s="57" t="n">
        <v>46291</v>
      </c>
      <c r="B1192" s="0" t="s">
        <v>1288</v>
      </c>
      <c r="C1192" s="0" t="s">
        <v>13</v>
      </c>
      <c r="D1192" s="0" t="s">
        <v>81</v>
      </c>
      <c r="E1192" s="58" t="str">
        <f aca="false">VLOOKUP(D1192,Models!$A$2:$B$13,2,0)</f>
        <v>43-inch Smart TV</v>
      </c>
      <c r="F1192" s="0" t="s">
        <v>69</v>
      </c>
      <c r="G1192" s="58" t="str">
        <f aca="false">VLOOKUP(F1192,Countries!$A$2:$B$11,2,0)</f>
        <v>Egypt</v>
      </c>
      <c r="H1192" s="13" t="n">
        <v>15</v>
      </c>
      <c r="I1192" s="13" t="n">
        <v>117000</v>
      </c>
      <c r="J1192" s="0" t="s">
        <v>16</v>
      </c>
      <c r="K1192" s="0" t="s">
        <v>1253</v>
      </c>
    </row>
    <row r="1193" customFormat="false" ht="12.8" hidden="false" customHeight="false" outlineLevel="0" collapsed="false">
      <c r="A1193" s="57" t="n">
        <v>46291</v>
      </c>
      <c r="B1193" s="0" t="s">
        <v>1289</v>
      </c>
      <c r="C1193" s="0" t="s">
        <v>13</v>
      </c>
      <c r="D1193" s="0" t="s">
        <v>71</v>
      </c>
      <c r="E1193" s="58" t="str">
        <f aca="false">VLOOKUP(D1193,Models!$A$2:$B$13,2,0)</f>
        <v>43-inch Full HD TV</v>
      </c>
      <c r="F1193" s="0" t="s">
        <v>69</v>
      </c>
      <c r="G1193" s="58" t="str">
        <f aca="false">VLOOKUP(F1193,Countries!$A$2:$B$11,2,0)</f>
        <v>Egypt</v>
      </c>
      <c r="H1193" s="13" t="n">
        <v>8</v>
      </c>
      <c r="I1193" s="13" t="n">
        <v>55200</v>
      </c>
      <c r="J1193" s="0" t="s">
        <v>16</v>
      </c>
      <c r="K1193" s="0" t="s">
        <v>1253</v>
      </c>
    </row>
    <row r="1194" customFormat="false" ht="12.8" hidden="false" customHeight="false" outlineLevel="0" collapsed="false">
      <c r="A1194" s="57" t="n">
        <v>46291</v>
      </c>
      <c r="B1194" s="0" t="s">
        <v>1290</v>
      </c>
      <c r="C1194" s="0" t="s">
        <v>15</v>
      </c>
      <c r="D1194" s="0" t="s">
        <v>81</v>
      </c>
      <c r="E1194" s="58" t="str">
        <f aca="false">VLOOKUP(D1194,Models!$A$2:$B$13,2,0)</f>
        <v>43-inch Smart TV</v>
      </c>
      <c r="F1194" s="0" t="s">
        <v>79</v>
      </c>
      <c r="G1194" s="58" t="str">
        <f aca="false">VLOOKUP(F1194,Countries!$A$2:$B$11,2,0)</f>
        <v>Iraq</v>
      </c>
      <c r="H1194" s="13" t="n">
        <v>45</v>
      </c>
      <c r="I1194" s="13" t="n">
        <v>351000</v>
      </c>
      <c r="J1194" s="0" t="s">
        <v>16</v>
      </c>
      <c r="K1194" s="0" t="s">
        <v>1253</v>
      </c>
    </row>
    <row r="1195" customFormat="false" ht="12.8" hidden="false" customHeight="false" outlineLevel="0" collapsed="false">
      <c r="A1195" s="57" t="n">
        <v>46291</v>
      </c>
      <c r="B1195" s="0" t="s">
        <v>1291</v>
      </c>
      <c r="C1195" s="0" t="s">
        <v>15</v>
      </c>
      <c r="D1195" s="0" t="s">
        <v>85</v>
      </c>
      <c r="E1195" s="58" t="str">
        <f aca="false">VLOOKUP(D1195,Models!$A$2:$B$13,2,0)</f>
        <v>75-inch 4K TV</v>
      </c>
      <c r="F1195" s="0" t="s">
        <v>69</v>
      </c>
      <c r="G1195" s="58" t="str">
        <f aca="false">VLOOKUP(F1195,Countries!$A$2:$B$11,2,0)</f>
        <v>Egypt</v>
      </c>
      <c r="H1195" s="13" t="n">
        <v>12</v>
      </c>
      <c r="I1195" s="13" t="n">
        <v>374400</v>
      </c>
      <c r="J1195" s="0" t="s">
        <v>16</v>
      </c>
      <c r="K1195" s="0" t="s">
        <v>1253</v>
      </c>
    </row>
    <row r="1196" customFormat="false" ht="12.8" hidden="false" customHeight="false" outlineLevel="0" collapsed="false">
      <c r="A1196" s="57" t="n">
        <v>46291</v>
      </c>
      <c r="B1196" s="0" t="s">
        <v>1292</v>
      </c>
      <c r="C1196" s="0" t="s">
        <v>15</v>
      </c>
      <c r="D1196" s="0" t="s">
        <v>74</v>
      </c>
      <c r="E1196" s="58" t="str">
        <f aca="false">VLOOKUP(D1196,Models!$A$2:$B$13,2,0)</f>
        <v>40-inch Full HD TV</v>
      </c>
      <c r="F1196" s="0" t="s">
        <v>65</v>
      </c>
      <c r="G1196" s="58" t="str">
        <f aca="false">VLOOKUP(F1196,Countries!$A$2:$B$11,2,0)</f>
        <v>Jordan</v>
      </c>
      <c r="H1196" s="13" t="n">
        <v>8</v>
      </c>
      <c r="I1196" s="13" t="n">
        <v>49600</v>
      </c>
      <c r="J1196" s="0" t="s">
        <v>16</v>
      </c>
      <c r="K1196" s="0" t="s">
        <v>1253</v>
      </c>
    </row>
    <row r="1197" customFormat="false" ht="12.8" hidden="false" customHeight="false" outlineLevel="0" collapsed="false">
      <c r="A1197" s="57" t="n">
        <v>46291</v>
      </c>
      <c r="B1197" s="0" t="s">
        <v>1293</v>
      </c>
      <c r="C1197" s="0" t="s">
        <v>17</v>
      </c>
      <c r="D1197" s="0" t="s">
        <v>71</v>
      </c>
      <c r="E1197" s="58" t="str">
        <f aca="false">VLOOKUP(D1197,Models!$A$2:$B$13,2,0)</f>
        <v>43-inch Full HD TV</v>
      </c>
      <c r="F1197" s="0" t="s">
        <v>69</v>
      </c>
      <c r="G1197" s="58" t="str">
        <f aca="false">VLOOKUP(F1197,Countries!$A$2:$B$11,2,0)</f>
        <v>Egypt</v>
      </c>
      <c r="H1197" s="13" t="n">
        <v>39</v>
      </c>
      <c r="I1197" s="13" t="n">
        <v>269100</v>
      </c>
      <c r="J1197" s="0" t="s">
        <v>16</v>
      </c>
      <c r="K1197" s="0" t="s">
        <v>1253</v>
      </c>
    </row>
    <row r="1198" customFormat="false" ht="12.8" hidden="false" customHeight="false" outlineLevel="0" collapsed="false">
      <c r="A1198" s="57" t="n">
        <v>46291</v>
      </c>
      <c r="B1198" s="0" t="s">
        <v>1294</v>
      </c>
      <c r="C1198" s="0" t="s">
        <v>19</v>
      </c>
      <c r="D1198" s="0" t="s">
        <v>74</v>
      </c>
      <c r="E1198" s="58" t="str">
        <f aca="false">VLOOKUP(D1198,Models!$A$2:$B$13,2,0)</f>
        <v>40-inch Full HD TV</v>
      </c>
      <c r="F1198" s="0" t="s">
        <v>79</v>
      </c>
      <c r="G1198" s="58" t="str">
        <f aca="false">VLOOKUP(F1198,Countries!$A$2:$B$11,2,0)</f>
        <v>Iraq</v>
      </c>
      <c r="H1198" s="13" t="n">
        <v>47</v>
      </c>
      <c r="I1198" s="13" t="n">
        <v>291400</v>
      </c>
      <c r="J1198" s="0" t="s">
        <v>16</v>
      </c>
      <c r="K1198" s="0" t="s">
        <v>1253</v>
      </c>
    </row>
    <row r="1199" customFormat="false" ht="12.8" hidden="false" customHeight="false" outlineLevel="0" collapsed="false">
      <c r="A1199" s="57" t="n">
        <v>46291</v>
      </c>
      <c r="B1199" s="0" t="s">
        <v>1295</v>
      </c>
      <c r="C1199" s="0" t="s">
        <v>19</v>
      </c>
      <c r="D1199" s="0" t="s">
        <v>74</v>
      </c>
      <c r="E1199" s="58" t="str">
        <f aca="false">VLOOKUP(D1199,Models!$A$2:$B$13,2,0)</f>
        <v>40-inch Full HD TV</v>
      </c>
      <c r="F1199" s="0" t="s">
        <v>79</v>
      </c>
      <c r="G1199" s="58" t="str">
        <f aca="false">VLOOKUP(F1199,Countries!$A$2:$B$11,2,0)</f>
        <v>Iraq</v>
      </c>
      <c r="H1199" s="13" t="n">
        <v>48</v>
      </c>
      <c r="I1199" s="13" t="n">
        <v>297600</v>
      </c>
      <c r="J1199" s="0" t="s">
        <v>16</v>
      </c>
      <c r="K1199" s="0" t="s">
        <v>1253</v>
      </c>
    </row>
    <row r="1200" customFormat="false" ht="12.8" hidden="false" customHeight="false" outlineLevel="0" collapsed="false">
      <c r="A1200" s="57" t="n">
        <v>46291</v>
      </c>
      <c r="B1200" s="0" t="s">
        <v>1296</v>
      </c>
      <c r="C1200" s="0" t="s">
        <v>20</v>
      </c>
      <c r="D1200" s="0" t="s">
        <v>71</v>
      </c>
      <c r="E1200" s="58" t="str">
        <f aca="false">VLOOKUP(D1200,Models!$A$2:$B$13,2,0)</f>
        <v>43-inch Full HD TV</v>
      </c>
      <c r="F1200" s="0" t="s">
        <v>177</v>
      </c>
      <c r="G1200" s="58" t="str">
        <f aca="false">VLOOKUP(F1200,Countries!$A$2:$B$11,2,0)</f>
        <v>Saudi Arabia</v>
      </c>
      <c r="H1200" s="13" t="n">
        <v>40</v>
      </c>
      <c r="I1200" s="13" t="n">
        <v>276000</v>
      </c>
      <c r="J1200" s="0" t="s">
        <v>16</v>
      </c>
      <c r="K1200" s="0" t="s">
        <v>1253</v>
      </c>
    </row>
    <row r="1201" customFormat="false" ht="12.8" hidden="false" customHeight="false" outlineLevel="0" collapsed="false">
      <c r="A1201" s="57" t="n">
        <v>46291</v>
      </c>
      <c r="B1201" s="0" t="s">
        <v>1297</v>
      </c>
      <c r="C1201" s="0" t="s">
        <v>21</v>
      </c>
      <c r="D1201" s="0" t="s">
        <v>95</v>
      </c>
      <c r="E1201" s="58" t="str">
        <f aca="false">VLOOKUP(D1201,Models!$A$2:$B$13,2,0)</f>
        <v>32-inch HD TV</v>
      </c>
      <c r="F1201" s="0" t="s">
        <v>69</v>
      </c>
      <c r="G1201" s="58" t="str">
        <f aca="false">VLOOKUP(F1201,Countries!$A$2:$B$11,2,0)</f>
        <v>Egypt</v>
      </c>
      <c r="H1201" s="13" t="n">
        <v>39</v>
      </c>
      <c r="I1201" s="13" t="n">
        <v>152100</v>
      </c>
      <c r="J1201" s="0" t="s">
        <v>16</v>
      </c>
      <c r="K1201" s="0" t="s">
        <v>1253</v>
      </c>
    </row>
    <row r="1202" customFormat="false" ht="12.8" hidden="false" customHeight="false" outlineLevel="0" collapsed="false">
      <c r="A1202" s="57" t="n">
        <v>46291</v>
      </c>
      <c r="B1202" s="0" t="s">
        <v>1298</v>
      </c>
      <c r="C1202" s="0" t="s">
        <v>21</v>
      </c>
      <c r="D1202" s="0" t="s">
        <v>85</v>
      </c>
      <c r="E1202" s="58" t="str">
        <f aca="false">VLOOKUP(D1202,Models!$A$2:$B$13,2,0)</f>
        <v>75-inch 4K TV</v>
      </c>
      <c r="F1202" s="0" t="s">
        <v>69</v>
      </c>
      <c r="G1202" s="58" t="str">
        <f aca="false">VLOOKUP(F1202,Countries!$A$2:$B$11,2,0)</f>
        <v>Egypt</v>
      </c>
      <c r="H1202" s="13" t="n">
        <v>13</v>
      </c>
      <c r="I1202" s="13" t="n">
        <v>405600</v>
      </c>
      <c r="J1202" s="0" t="s">
        <v>16</v>
      </c>
      <c r="K1202" s="0" t="s">
        <v>1253</v>
      </c>
    </row>
    <row r="1203" customFormat="false" ht="12.8" hidden="false" customHeight="false" outlineLevel="0" collapsed="false">
      <c r="A1203" s="57" t="n">
        <v>46292</v>
      </c>
      <c r="B1203" s="0" t="s">
        <v>1299</v>
      </c>
      <c r="C1203" s="0" t="s">
        <v>13</v>
      </c>
      <c r="D1203" s="0" t="s">
        <v>109</v>
      </c>
      <c r="E1203" s="58" t="str">
        <f aca="false">VLOOKUP(D1203,Models!$A$2:$B$13,2,0)</f>
        <v>55-inch QLED TV</v>
      </c>
      <c r="F1203" s="0" t="s">
        <v>72</v>
      </c>
      <c r="G1203" s="58" t="str">
        <f aca="false">VLOOKUP(F1203,Countries!$A$2:$B$11,2,0)</f>
        <v>Kenya</v>
      </c>
      <c r="H1203" s="13" t="n">
        <v>11</v>
      </c>
      <c r="I1203" s="13" t="n">
        <v>171600</v>
      </c>
      <c r="J1203" s="0" t="s">
        <v>16</v>
      </c>
      <c r="K1203" s="0" t="s">
        <v>1253</v>
      </c>
    </row>
    <row r="1204" customFormat="false" ht="12.8" hidden="false" customHeight="false" outlineLevel="0" collapsed="false">
      <c r="A1204" s="57" t="n">
        <v>46292</v>
      </c>
      <c r="B1204" s="0" t="s">
        <v>1300</v>
      </c>
      <c r="C1204" s="0" t="s">
        <v>13</v>
      </c>
      <c r="D1204" s="0" t="s">
        <v>81</v>
      </c>
      <c r="E1204" s="58" t="str">
        <f aca="false">VLOOKUP(D1204,Models!$A$2:$B$13,2,0)</f>
        <v>43-inch Smart TV</v>
      </c>
      <c r="F1204" s="0" t="s">
        <v>65</v>
      </c>
      <c r="G1204" s="58" t="str">
        <f aca="false">VLOOKUP(F1204,Countries!$A$2:$B$11,2,0)</f>
        <v>Jordan</v>
      </c>
      <c r="H1204" s="13" t="n">
        <v>27</v>
      </c>
      <c r="I1204" s="13" t="n">
        <v>210600</v>
      </c>
      <c r="J1204" s="0" t="s">
        <v>16</v>
      </c>
      <c r="K1204" s="0" t="s">
        <v>1253</v>
      </c>
    </row>
    <row r="1205" customFormat="false" ht="12.8" hidden="false" customHeight="false" outlineLevel="0" collapsed="false">
      <c r="A1205" s="57" t="n">
        <v>46292</v>
      </c>
      <c r="B1205" s="0" t="s">
        <v>1301</v>
      </c>
      <c r="C1205" s="0" t="s">
        <v>15</v>
      </c>
      <c r="D1205" s="0" t="s">
        <v>90</v>
      </c>
      <c r="E1205" s="58" t="str">
        <f aca="false">VLOOKUP(D1205,Models!$A$2:$B$13,2,0)</f>
        <v>55-inch 4K TV</v>
      </c>
      <c r="F1205" s="0" t="s">
        <v>65</v>
      </c>
      <c r="G1205" s="58" t="str">
        <f aca="false">VLOOKUP(F1205,Countries!$A$2:$B$11,2,0)</f>
        <v>Jordan</v>
      </c>
      <c r="H1205" s="13" t="n">
        <v>9</v>
      </c>
      <c r="I1205" s="13" t="n">
        <v>110700</v>
      </c>
      <c r="J1205" s="0" t="s">
        <v>16</v>
      </c>
      <c r="K1205" s="0" t="s">
        <v>1253</v>
      </c>
    </row>
    <row r="1206" customFormat="false" ht="12.8" hidden="false" customHeight="false" outlineLevel="0" collapsed="false">
      <c r="A1206" s="57" t="n">
        <v>46292</v>
      </c>
      <c r="B1206" s="0" t="s">
        <v>1302</v>
      </c>
      <c r="C1206" s="0" t="s">
        <v>15</v>
      </c>
      <c r="D1206" s="0" t="s">
        <v>77</v>
      </c>
      <c r="E1206" s="58" t="str">
        <f aca="false">VLOOKUP(D1206,Models!$A$2:$B$13,2,0)</f>
        <v>65-inch QLED TV</v>
      </c>
      <c r="F1206" s="0" t="s">
        <v>79</v>
      </c>
      <c r="G1206" s="58" t="str">
        <f aca="false">VLOOKUP(F1206,Countries!$A$2:$B$11,2,0)</f>
        <v>Iraq</v>
      </c>
      <c r="H1206" s="13" t="n">
        <v>8</v>
      </c>
      <c r="I1206" s="13" t="n">
        <v>196000</v>
      </c>
      <c r="J1206" s="0" t="s">
        <v>16</v>
      </c>
      <c r="K1206" s="0" t="s">
        <v>1253</v>
      </c>
    </row>
    <row r="1207" customFormat="false" ht="12.8" hidden="false" customHeight="false" outlineLevel="0" collapsed="false">
      <c r="A1207" s="57" t="n">
        <v>46292</v>
      </c>
      <c r="B1207" s="0" t="s">
        <v>1303</v>
      </c>
      <c r="C1207" s="0" t="s">
        <v>15</v>
      </c>
      <c r="D1207" s="0" t="s">
        <v>88</v>
      </c>
      <c r="E1207" s="58" t="str">
        <f aca="false">VLOOKUP(D1207,Models!$A$2:$B$13,2,0)</f>
        <v>24-inch HD TV</v>
      </c>
      <c r="F1207" s="0" t="s">
        <v>79</v>
      </c>
      <c r="G1207" s="58" t="str">
        <f aca="false">VLOOKUP(F1207,Countries!$A$2:$B$11,2,0)</f>
        <v>Iraq</v>
      </c>
      <c r="H1207" s="13" t="n">
        <v>11</v>
      </c>
      <c r="I1207" s="13" t="n">
        <v>31900</v>
      </c>
      <c r="J1207" s="0" t="s">
        <v>16</v>
      </c>
      <c r="K1207" s="0" t="s">
        <v>1253</v>
      </c>
    </row>
    <row r="1208" customFormat="false" ht="12.8" hidden="false" customHeight="false" outlineLevel="0" collapsed="false">
      <c r="A1208" s="57" t="n">
        <v>46292</v>
      </c>
      <c r="B1208" s="0" t="s">
        <v>1304</v>
      </c>
      <c r="C1208" s="0" t="s">
        <v>15</v>
      </c>
      <c r="D1208" s="0" t="s">
        <v>90</v>
      </c>
      <c r="E1208" s="58" t="str">
        <f aca="false">VLOOKUP(D1208,Models!$A$2:$B$13,2,0)</f>
        <v>55-inch 4K TV</v>
      </c>
      <c r="F1208" s="0" t="s">
        <v>69</v>
      </c>
      <c r="G1208" s="58" t="str">
        <f aca="false">VLOOKUP(F1208,Countries!$A$2:$B$11,2,0)</f>
        <v>Egypt</v>
      </c>
      <c r="H1208" s="13" t="n">
        <v>32</v>
      </c>
      <c r="I1208" s="13" t="n">
        <v>393600</v>
      </c>
      <c r="J1208" s="0" t="s">
        <v>16</v>
      </c>
      <c r="K1208" s="0" t="s">
        <v>1253</v>
      </c>
    </row>
    <row r="1209" customFormat="false" ht="12.8" hidden="false" customHeight="false" outlineLevel="0" collapsed="false">
      <c r="A1209" s="57" t="n">
        <v>46292</v>
      </c>
      <c r="B1209" s="0" t="s">
        <v>1305</v>
      </c>
      <c r="C1209" s="0" t="s">
        <v>17</v>
      </c>
      <c r="D1209" s="0" t="s">
        <v>85</v>
      </c>
      <c r="E1209" s="58" t="str">
        <f aca="false">VLOOKUP(D1209,Models!$A$2:$B$13,2,0)</f>
        <v>75-inch 4K TV</v>
      </c>
      <c r="F1209" s="0" t="s">
        <v>69</v>
      </c>
      <c r="G1209" s="58" t="str">
        <f aca="false">VLOOKUP(F1209,Countries!$A$2:$B$11,2,0)</f>
        <v>Egypt</v>
      </c>
      <c r="H1209" s="13" t="n">
        <v>7</v>
      </c>
      <c r="I1209" s="13" t="n">
        <v>218400</v>
      </c>
      <c r="J1209" s="0" t="s">
        <v>16</v>
      </c>
      <c r="K1209" s="0" t="s">
        <v>1253</v>
      </c>
    </row>
    <row r="1210" customFormat="false" ht="12.8" hidden="false" customHeight="false" outlineLevel="0" collapsed="false">
      <c r="A1210" s="57" t="n">
        <v>46292</v>
      </c>
      <c r="B1210" s="0" t="s">
        <v>1306</v>
      </c>
      <c r="C1210" s="0" t="s">
        <v>17</v>
      </c>
      <c r="D1210" s="0" t="s">
        <v>71</v>
      </c>
      <c r="E1210" s="58" t="str">
        <f aca="false">VLOOKUP(D1210,Models!$A$2:$B$13,2,0)</f>
        <v>43-inch Full HD TV</v>
      </c>
      <c r="F1210" s="0" t="s">
        <v>101</v>
      </c>
      <c r="G1210" s="58" t="str">
        <f aca="false">VLOOKUP(F1210,Countries!$A$2:$B$11,2,0)</f>
        <v>Kuwait</v>
      </c>
      <c r="H1210" s="13" t="n">
        <v>37</v>
      </c>
      <c r="I1210" s="13" t="n">
        <v>255300</v>
      </c>
      <c r="J1210" s="0" t="s">
        <v>16</v>
      </c>
      <c r="K1210" s="0" t="s">
        <v>1253</v>
      </c>
    </row>
    <row r="1211" customFormat="false" ht="12.8" hidden="false" customHeight="false" outlineLevel="0" collapsed="false">
      <c r="A1211" s="57" t="n">
        <v>46292</v>
      </c>
      <c r="B1211" s="0" t="s">
        <v>1307</v>
      </c>
      <c r="C1211" s="0" t="s">
        <v>17</v>
      </c>
      <c r="D1211" s="0" t="s">
        <v>77</v>
      </c>
      <c r="E1211" s="58" t="str">
        <f aca="false">VLOOKUP(D1211,Models!$A$2:$B$13,2,0)</f>
        <v>65-inch QLED TV</v>
      </c>
      <c r="F1211" s="0" t="s">
        <v>69</v>
      </c>
      <c r="G1211" s="58" t="str">
        <f aca="false">VLOOKUP(F1211,Countries!$A$2:$B$11,2,0)</f>
        <v>Egypt</v>
      </c>
      <c r="H1211" s="13" t="n">
        <v>21</v>
      </c>
      <c r="I1211" s="13" t="n">
        <v>514500</v>
      </c>
      <c r="J1211" s="0" t="s">
        <v>16</v>
      </c>
      <c r="K1211" s="0" t="s">
        <v>1253</v>
      </c>
    </row>
    <row r="1212" customFormat="false" ht="12.8" hidden="false" customHeight="false" outlineLevel="0" collapsed="false">
      <c r="A1212" s="57" t="n">
        <v>46292</v>
      </c>
      <c r="B1212" s="0" t="s">
        <v>1308</v>
      </c>
      <c r="C1212" s="0" t="s">
        <v>17</v>
      </c>
      <c r="D1212" s="0" t="s">
        <v>74</v>
      </c>
      <c r="E1212" s="58" t="str">
        <f aca="false">VLOOKUP(D1212,Models!$A$2:$B$13,2,0)</f>
        <v>40-inch Full HD TV</v>
      </c>
      <c r="F1212" s="0" t="s">
        <v>69</v>
      </c>
      <c r="G1212" s="58" t="str">
        <f aca="false">VLOOKUP(F1212,Countries!$A$2:$B$11,2,0)</f>
        <v>Egypt</v>
      </c>
      <c r="H1212" s="13" t="n">
        <v>35</v>
      </c>
      <c r="I1212" s="13" t="n">
        <v>217000</v>
      </c>
      <c r="J1212" s="0" t="s">
        <v>16</v>
      </c>
      <c r="K1212" s="0" t="s">
        <v>1253</v>
      </c>
    </row>
    <row r="1213" customFormat="false" ht="12.8" hidden="false" customHeight="false" outlineLevel="0" collapsed="false">
      <c r="A1213" s="57" t="n">
        <v>46292</v>
      </c>
      <c r="B1213" s="0" t="s">
        <v>1309</v>
      </c>
      <c r="C1213" s="0" t="s">
        <v>19</v>
      </c>
      <c r="D1213" s="0" t="s">
        <v>85</v>
      </c>
      <c r="E1213" s="58" t="str">
        <f aca="false">VLOOKUP(D1213,Models!$A$2:$B$13,2,0)</f>
        <v>75-inch 4K TV</v>
      </c>
      <c r="F1213" s="0" t="s">
        <v>69</v>
      </c>
      <c r="G1213" s="58" t="str">
        <f aca="false">VLOOKUP(F1213,Countries!$A$2:$B$11,2,0)</f>
        <v>Egypt</v>
      </c>
      <c r="H1213" s="13" t="n">
        <v>11</v>
      </c>
      <c r="I1213" s="13" t="n">
        <v>343200</v>
      </c>
      <c r="J1213" s="0" t="s">
        <v>16</v>
      </c>
      <c r="K1213" s="0" t="s">
        <v>1253</v>
      </c>
    </row>
    <row r="1214" customFormat="false" ht="12.8" hidden="false" customHeight="false" outlineLevel="0" collapsed="false">
      <c r="A1214" s="57" t="n">
        <v>46292</v>
      </c>
      <c r="B1214" s="0" t="s">
        <v>1310</v>
      </c>
      <c r="C1214" s="0" t="s">
        <v>19</v>
      </c>
      <c r="D1214" s="0" t="s">
        <v>64</v>
      </c>
      <c r="E1214" s="58" t="str">
        <f aca="false">VLOOKUP(D1214,Models!$A$2:$B$13,2,0)</f>
        <v>32-inch Smart TV</v>
      </c>
      <c r="F1214" s="0" t="s">
        <v>79</v>
      </c>
      <c r="G1214" s="58" t="str">
        <f aca="false">VLOOKUP(F1214,Countries!$A$2:$B$11,2,0)</f>
        <v>Iraq</v>
      </c>
      <c r="H1214" s="13" t="n">
        <v>62</v>
      </c>
      <c r="I1214" s="13" t="n">
        <v>285200</v>
      </c>
      <c r="J1214" s="0" t="s">
        <v>16</v>
      </c>
      <c r="K1214" s="0" t="s">
        <v>1253</v>
      </c>
    </row>
    <row r="1215" customFormat="false" ht="12.8" hidden="false" customHeight="false" outlineLevel="0" collapsed="false">
      <c r="A1215" s="57" t="n">
        <v>46292</v>
      </c>
      <c r="B1215" s="0" t="s">
        <v>1311</v>
      </c>
      <c r="C1215" s="0" t="s">
        <v>19</v>
      </c>
      <c r="D1215" s="0" t="s">
        <v>90</v>
      </c>
      <c r="E1215" s="58" t="str">
        <f aca="false">VLOOKUP(D1215,Models!$A$2:$B$13,2,0)</f>
        <v>55-inch 4K TV</v>
      </c>
      <c r="F1215" s="0" t="s">
        <v>65</v>
      </c>
      <c r="G1215" s="58" t="str">
        <f aca="false">VLOOKUP(F1215,Countries!$A$2:$B$11,2,0)</f>
        <v>Jordan</v>
      </c>
      <c r="H1215" s="13" t="n">
        <v>11</v>
      </c>
      <c r="I1215" s="13" t="n">
        <v>135300</v>
      </c>
      <c r="J1215" s="0" t="s">
        <v>16</v>
      </c>
      <c r="K1215" s="0" t="s">
        <v>1253</v>
      </c>
    </row>
    <row r="1216" customFormat="false" ht="12.8" hidden="false" customHeight="false" outlineLevel="0" collapsed="false">
      <c r="A1216" s="57" t="n">
        <v>46292</v>
      </c>
      <c r="B1216" s="0" t="s">
        <v>1312</v>
      </c>
      <c r="C1216" s="0" t="s">
        <v>20</v>
      </c>
      <c r="D1216" s="0" t="s">
        <v>64</v>
      </c>
      <c r="E1216" s="58" t="str">
        <f aca="false">VLOOKUP(D1216,Models!$A$2:$B$13,2,0)</f>
        <v>32-inch Smart TV</v>
      </c>
      <c r="F1216" s="0" t="s">
        <v>83</v>
      </c>
      <c r="G1216" s="58" t="str">
        <f aca="false">VLOOKUP(F1216,Countries!$A$2:$B$11,2,0)</f>
        <v>United Arab Emirates</v>
      </c>
      <c r="H1216" s="13" t="n">
        <v>63</v>
      </c>
      <c r="I1216" s="13" t="n">
        <v>289800</v>
      </c>
      <c r="J1216" s="0" t="s">
        <v>16</v>
      </c>
      <c r="K1216" s="0" t="s">
        <v>1253</v>
      </c>
    </row>
    <row r="1217" customFormat="false" ht="12.8" hidden="false" customHeight="false" outlineLevel="0" collapsed="false">
      <c r="A1217" s="57" t="n">
        <v>46292</v>
      </c>
      <c r="B1217" s="0" t="s">
        <v>1313</v>
      </c>
      <c r="C1217" s="0" t="s">
        <v>20</v>
      </c>
      <c r="D1217" s="0" t="s">
        <v>109</v>
      </c>
      <c r="E1217" s="58" t="str">
        <f aca="false">VLOOKUP(D1217,Models!$A$2:$B$13,2,0)</f>
        <v>55-inch QLED TV</v>
      </c>
      <c r="F1217" s="0" t="s">
        <v>69</v>
      </c>
      <c r="G1217" s="58" t="str">
        <f aca="false">VLOOKUP(F1217,Countries!$A$2:$B$11,2,0)</f>
        <v>Egypt</v>
      </c>
      <c r="H1217" s="13" t="n">
        <v>13</v>
      </c>
      <c r="I1217" s="13" t="n">
        <v>202800</v>
      </c>
      <c r="J1217" s="0" t="s">
        <v>16</v>
      </c>
      <c r="K1217" s="0" t="s">
        <v>1253</v>
      </c>
    </row>
    <row r="1218" customFormat="false" ht="12.8" hidden="false" customHeight="false" outlineLevel="0" collapsed="false">
      <c r="A1218" s="57" t="n">
        <v>46292</v>
      </c>
      <c r="B1218" s="0" t="s">
        <v>1314</v>
      </c>
      <c r="C1218" s="0" t="s">
        <v>20</v>
      </c>
      <c r="D1218" s="0" t="s">
        <v>95</v>
      </c>
      <c r="E1218" s="58" t="str">
        <f aca="false">VLOOKUP(D1218,Models!$A$2:$B$13,2,0)</f>
        <v>32-inch HD TV</v>
      </c>
      <c r="F1218" s="0" t="s">
        <v>72</v>
      </c>
      <c r="G1218" s="58" t="str">
        <f aca="false">VLOOKUP(F1218,Countries!$A$2:$B$11,2,0)</f>
        <v>Kenya</v>
      </c>
      <c r="H1218" s="13" t="n">
        <v>40</v>
      </c>
      <c r="I1218" s="13" t="n">
        <v>156000</v>
      </c>
      <c r="J1218" s="0" t="s">
        <v>16</v>
      </c>
      <c r="K1218" s="0" t="s">
        <v>1253</v>
      </c>
    </row>
    <row r="1219" customFormat="false" ht="12.8" hidden="false" customHeight="false" outlineLevel="0" collapsed="false">
      <c r="A1219" s="57" t="n">
        <v>46292</v>
      </c>
      <c r="B1219" s="0" t="s">
        <v>1315</v>
      </c>
      <c r="C1219" s="0" t="s">
        <v>21</v>
      </c>
      <c r="D1219" s="0" t="s">
        <v>74</v>
      </c>
      <c r="E1219" s="58" t="str">
        <f aca="false">VLOOKUP(D1219,Models!$A$2:$B$13,2,0)</f>
        <v>40-inch Full HD TV</v>
      </c>
      <c r="F1219" s="0" t="s">
        <v>101</v>
      </c>
      <c r="G1219" s="58" t="str">
        <f aca="false">VLOOKUP(F1219,Countries!$A$2:$B$11,2,0)</f>
        <v>Kuwait</v>
      </c>
      <c r="H1219" s="13" t="n">
        <v>42</v>
      </c>
      <c r="I1219" s="13" t="n">
        <v>260400</v>
      </c>
      <c r="J1219" s="0" t="s">
        <v>16</v>
      </c>
      <c r="K1219" s="0" t="s">
        <v>1253</v>
      </c>
    </row>
    <row r="1220" customFormat="false" ht="12.8" hidden="false" customHeight="false" outlineLevel="0" collapsed="false">
      <c r="A1220" s="57" t="n">
        <v>46293</v>
      </c>
      <c r="B1220" s="0" t="s">
        <v>1316</v>
      </c>
      <c r="C1220" s="0" t="s">
        <v>13</v>
      </c>
      <c r="D1220" s="0" t="s">
        <v>90</v>
      </c>
      <c r="E1220" s="58" t="str">
        <f aca="false">VLOOKUP(D1220,Models!$A$2:$B$13,2,0)</f>
        <v>55-inch 4K TV</v>
      </c>
      <c r="F1220" s="0" t="s">
        <v>69</v>
      </c>
      <c r="G1220" s="58" t="str">
        <f aca="false">VLOOKUP(F1220,Countries!$A$2:$B$11,2,0)</f>
        <v>Egypt</v>
      </c>
      <c r="H1220" s="13" t="n">
        <v>28</v>
      </c>
      <c r="I1220" s="13" t="n">
        <v>344400</v>
      </c>
      <c r="J1220" s="0" t="s">
        <v>16</v>
      </c>
      <c r="K1220" s="0" t="s">
        <v>1253</v>
      </c>
    </row>
    <row r="1221" customFormat="false" ht="12.8" hidden="false" customHeight="false" outlineLevel="0" collapsed="false">
      <c r="A1221" s="57" t="n">
        <v>46293</v>
      </c>
      <c r="B1221" s="0" t="s">
        <v>1317</v>
      </c>
      <c r="C1221" s="0" t="s">
        <v>13</v>
      </c>
      <c r="D1221" s="0" t="s">
        <v>71</v>
      </c>
      <c r="E1221" s="58" t="str">
        <f aca="false">VLOOKUP(D1221,Models!$A$2:$B$13,2,0)</f>
        <v>43-inch Full HD TV</v>
      </c>
      <c r="F1221" s="0" t="s">
        <v>69</v>
      </c>
      <c r="G1221" s="58" t="str">
        <f aca="false">VLOOKUP(F1221,Countries!$A$2:$B$11,2,0)</f>
        <v>Egypt</v>
      </c>
      <c r="H1221" s="13" t="n">
        <v>15</v>
      </c>
      <c r="I1221" s="13" t="n">
        <v>103500</v>
      </c>
      <c r="J1221" s="0" t="s">
        <v>16</v>
      </c>
      <c r="K1221" s="0" t="s">
        <v>1253</v>
      </c>
    </row>
    <row r="1222" customFormat="false" ht="12.8" hidden="false" customHeight="false" outlineLevel="0" collapsed="false">
      <c r="A1222" s="57" t="n">
        <v>46293</v>
      </c>
      <c r="B1222" s="0" t="s">
        <v>1318</v>
      </c>
      <c r="C1222" s="0" t="s">
        <v>13</v>
      </c>
      <c r="D1222" s="0" t="s">
        <v>95</v>
      </c>
      <c r="E1222" s="58" t="str">
        <f aca="false">VLOOKUP(D1222,Models!$A$2:$B$13,2,0)</f>
        <v>32-inch HD TV</v>
      </c>
      <c r="F1222" s="0" t="s">
        <v>69</v>
      </c>
      <c r="G1222" s="58" t="str">
        <f aca="false">VLOOKUP(F1222,Countries!$A$2:$B$11,2,0)</f>
        <v>Egypt</v>
      </c>
      <c r="H1222" s="13" t="n">
        <v>54</v>
      </c>
      <c r="I1222" s="13" t="n">
        <v>210600</v>
      </c>
      <c r="J1222" s="0" t="s">
        <v>16</v>
      </c>
      <c r="K1222" s="0" t="s">
        <v>1253</v>
      </c>
    </row>
    <row r="1223" customFormat="false" ht="12.8" hidden="false" customHeight="false" outlineLevel="0" collapsed="false">
      <c r="A1223" s="57" t="n">
        <v>46293</v>
      </c>
      <c r="B1223" s="0" t="s">
        <v>1319</v>
      </c>
      <c r="C1223" s="0" t="s">
        <v>13</v>
      </c>
      <c r="D1223" s="0" t="s">
        <v>74</v>
      </c>
      <c r="E1223" s="58" t="str">
        <f aca="false">VLOOKUP(D1223,Models!$A$2:$B$13,2,0)</f>
        <v>40-inch Full HD TV</v>
      </c>
      <c r="F1223" s="0" t="s">
        <v>83</v>
      </c>
      <c r="G1223" s="58" t="str">
        <f aca="false">VLOOKUP(F1223,Countries!$A$2:$B$11,2,0)</f>
        <v>United Arab Emirates</v>
      </c>
      <c r="H1223" s="13" t="n">
        <v>49</v>
      </c>
      <c r="I1223" s="13" t="n">
        <v>303800</v>
      </c>
      <c r="J1223" s="0" t="s">
        <v>16</v>
      </c>
      <c r="K1223" s="0" t="s">
        <v>1253</v>
      </c>
    </row>
    <row r="1224" customFormat="false" ht="12.8" hidden="false" customHeight="false" outlineLevel="0" collapsed="false">
      <c r="A1224" s="57" t="n">
        <v>46293</v>
      </c>
      <c r="B1224" s="0" t="s">
        <v>1320</v>
      </c>
      <c r="C1224" s="0" t="s">
        <v>13</v>
      </c>
      <c r="D1224" s="0" t="s">
        <v>88</v>
      </c>
      <c r="E1224" s="58" t="str">
        <f aca="false">VLOOKUP(D1224,Models!$A$2:$B$13,2,0)</f>
        <v>24-inch HD TV</v>
      </c>
      <c r="F1224" s="0" t="s">
        <v>69</v>
      </c>
      <c r="G1224" s="58" t="str">
        <f aca="false">VLOOKUP(F1224,Countries!$A$2:$B$11,2,0)</f>
        <v>Egypt</v>
      </c>
      <c r="H1224" s="13" t="n">
        <v>54</v>
      </c>
      <c r="I1224" s="13" t="n">
        <v>156600</v>
      </c>
      <c r="J1224" s="0" t="s">
        <v>16</v>
      </c>
      <c r="K1224" s="0" t="s">
        <v>1253</v>
      </c>
    </row>
    <row r="1225" customFormat="false" ht="12.8" hidden="false" customHeight="false" outlineLevel="0" collapsed="false">
      <c r="A1225" s="57" t="n">
        <v>46293</v>
      </c>
      <c r="B1225" s="0" t="s">
        <v>1321</v>
      </c>
      <c r="C1225" s="0" t="s">
        <v>13</v>
      </c>
      <c r="D1225" s="0" t="s">
        <v>85</v>
      </c>
      <c r="E1225" s="58" t="str">
        <f aca="false">VLOOKUP(D1225,Models!$A$2:$B$13,2,0)</f>
        <v>75-inch 4K TV</v>
      </c>
      <c r="F1225" s="0" t="s">
        <v>69</v>
      </c>
      <c r="G1225" s="58" t="str">
        <f aca="false">VLOOKUP(F1225,Countries!$A$2:$B$11,2,0)</f>
        <v>Egypt</v>
      </c>
      <c r="H1225" s="13" t="n">
        <v>7</v>
      </c>
      <c r="I1225" s="13" t="n">
        <v>218400</v>
      </c>
      <c r="J1225" s="0" t="s">
        <v>16</v>
      </c>
      <c r="K1225" s="0" t="s">
        <v>1253</v>
      </c>
    </row>
    <row r="1226" customFormat="false" ht="12.8" hidden="false" customHeight="false" outlineLevel="0" collapsed="false">
      <c r="A1226" s="57" t="n">
        <v>46293</v>
      </c>
      <c r="B1226" s="0" t="s">
        <v>1322</v>
      </c>
      <c r="C1226" s="0" t="s">
        <v>15</v>
      </c>
      <c r="D1226" s="0" t="s">
        <v>81</v>
      </c>
      <c r="E1226" s="58" t="str">
        <f aca="false">VLOOKUP(D1226,Models!$A$2:$B$13,2,0)</f>
        <v>43-inch Smart TV</v>
      </c>
      <c r="F1226" s="0" t="s">
        <v>69</v>
      </c>
      <c r="G1226" s="58" t="str">
        <f aca="false">VLOOKUP(F1226,Countries!$A$2:$B$11,2,0)</f>
        <v>Egypt</v>
      </c>
      <c r="H1226" s="13" t="n">
        <v>16</v>
      </c>
      <c r="I1226" s="13" t="n">
        <v>124800</v>
      </c>
      <c r="J1226" s="0" t="s">
        <v>16</v>
      </c>
      <c r="K1226" s="0" t="s">
        <v>1253</v>
      </c>
    </row>
    <row r="1227" customFormat="false" ht="12.8" hidden="false" customHeight="false" outlineLevel="0" collapsed="false">
      <c r="A1227" s="57" t="n">
        <v>46293</v>
      </c>
      <c r="B1227" s="0" t="s">
        <v>1323</v>
      </c>
      <c r="C1227" s="0" t="s">
        <v>15</v>
      </c>
      <c r="D1227" s="0" t="s">
        <v>90</v>
      </c>
      <c r="E1227" s="58" t="str">
        <f aca="false">VLOOKUP(D1227,Models!$A$2:$B$13,2,0)</f>
        <v>55-inch 4K TV</v>
      </c>
      <c r="F1227" s="0" t="s">
        <v>103</v>
      </c>
      <c r="G1227" s="58" t="str">
        <f aca="false">VLOOKUP(F1227,Countries!$A$2:$B$11,2,0)</f>
        <v>Morocco</v>
      </c>
      <c r="H1227" s="13" t="n">
        <v>14</v>
      </c>
      <c r="I1227" s="13" t="n">
        <v>172200</v>
      </c>
      <c r="J1227" s="0" t="s">
        <v>16</v>
      </c>
      <c r="K1227" s="0" t="s">
        <v>1253</v>
      </c>
    </row>
    <row r="1228" customFormat="false" ht="12.8" hidden="false" customHeight="false" outlineLevel="0" collapsed="false">
      <c r="A1228" s="57" t="n">
        <v>46293</v>
      </c>
      <c r="B1228" s="0" t="s">
        <v>1324</v>
      </c>
      <c r="C1228" s="0" t="s">
        <v>15</v>
      </c>
      <c r="D1228" s="0" t="s">
        <v>92</v>
      </c>
      <c r="E1228" s="58" t="str">
        <f aca="false">VLOOKUP(D1228,Models!$A$2:$B$13,2,0)</f>
        <v>65-inch 4K TV</v>
      </c>
      <c r="F1228" s="0" t="s">
        <v>69</v>
      </c>
      <c r="G1228" s="58" t="str">
        <f aca="false">VLOOKUP(F1228,Countries!$A$2:$B$11,2,0)</f>
        <v>Egypt</v>
      </c>
      <c r="H1228" s="13" t="n">
        <v>9</v>
      </c>
      <c r="I1228" s="13" t="n">
        <v>178200</v>
      </c>
      <c r="J1228" s="0" t="s">
        <v>16</v>
      </c>
      <c r="K1228" s="0" t="s">
        <v>1253</v>
      </c>
    </row>
    <row r="1229" customFormat="false" ht="12.8" hidden="false" customHeight="false" outlineLevel="0" collapsed="false">
      <c r="A1229" s="57" t="n">
        <v>46293</v>
      </c>
      <c r="B1229" s="0" t="s">
        <v>1325</v>
      </c>
      <c r="C1229" s="0" t="s">
        <v>15</v>
      </c>
      <c r="D1229" s="0" t="s">
        <v>109</v>
      </c>
      <c r="E1229" s="58" t="str">
        <f aca="false">VLOOKUP(D1229,Models!$A$2:$B$13,2,0)</f>
        <v>55-inch QLED TV</v>
      </c>
      <c r="F1229" s="0" t="s">
        <v>65</v>
      </c>
      <c r="G1229" s="58" t="str">
        <f aca="false">VLOOKUP(F1229,Countries!$A$2:$B$11,2,0)</f>
        <v>Jordan</v>
      </c>
      <c r="H1229" s="13" t="n">
        <v>18</v>
      </c>
      <c r="I1229" s="13" t="n">
        <v>280800</v>
      </c>
      <c r="J1229" s="0" t="s">
        <v>16</v>
      </c>
      <c r="K1229" s="0" t="s">
        <v>1253</v>
      </c>
    </row>
    <row r="1230" customFormat="false" ht="12.8" hidden="false" customHeight="false" outlineLevel="0" collapsed="false">
      <c r="A1230" s="57" t="n">
        <v>46293</v>
      </c>
      <c r="B1230" s="0" t="s">
        <v>1326</v>
      </c>
      <c r="C1230" s="0" t="s">
        <v>15</v>
      </c>
      <c r="D1230" s="0" t="s">
        <v>81</v>
      </c>
      <c r="E1230" s="58" t="str">
        <f aca="false">VLOOKUP(D1230,Models!$A$2:$B$13,2,0)</f>
        <v>43-inch Smart TV</v>
      </c>
      <c r="F1230" s="0" t="s">
        <v>69</v>
      </c>
      <c r="G1230" s="58" t="str">
        <f aca="false">VLOOKUP(F1230,Countries!$A$2:$B$11,2,0)</f>
        <v>Egypt</v>
      </c>
      <c r="H1230" s="13" t="n">
        <v>22</v>
      </c>
      <c r="I1230" s="13" t="n">
        <v>171600</v>
      </c>
      <c r="J1230" s="0" t="s">
        <v>16</v>
      </c>
      <c r="K1230" s="0" t="s">
        <v>1253</v>
      </c>
    </row>
    <row r="1231" customFormat="false" ht="12.8" hidden="false" customHeight="false" outlineLevel="0" collapsed="false">
      <c r="A1231" s="57" t="n">
        <v>46293</v>
      </c>
      <c r="B1231" s="0" t="s">
        <v>1327</v>
      </c>
      <c r="C1231" s="0" t="s">
        <v>17</v>
      </c>
      <c r="D1231" s="0" t="s">
        <v>74</v>
      </c>
      <c r="E1231" s="58" t="str">
        <f aca="false">VLOOKUP(D1231,Models!$A$2:$B$13,2,0)</f>
        <v>40-inch Full HD TV</v>
      </c>
      <c r="F1231" s="0" t="s">
        <v>101</v>
      </c>
      <c r="G1231" s="58" t="str">
        <f aca="false">VLOOKUP(F1231,Countries!$A$2:$B$11,2,0)</f>
        <v>Kuwait</v>
      </c>
      <c r="H1231" s="13" t="n">
        <v>30</v>
      </c>
      <c r="I1231" s="13" t="n">
        <v>186000</v>
      </c>
      <c r="J1231" s="0" t="s">
        <v>16</v>
      </c>
      <c r="K1231" s="0" t="s">
        <v>1253</v>
      </c>
    </row>
    <row r="1232" customFormat="false" ht="12.8" hidden="false" customHeight="false" outlineLevel="0" collapsed="false">
      <c r="A1232" s="57" t="n">
        <v>46293</v>
      </c>
      <c r="B1232" s="0" t="s">
        <v>1328</v>
      </c>
      <c r="C1232" s="0" t="s">
        <v>17</v>
      </c>
      <c r="D1232" s="0" t="s">
        <v>90</v>
      </c>
      <c r="E1232" s="58" t="str">
        <f aca="false">VLOOKUP(D1232,Models!$A$2:$B$13,2,0)</f>
        <v>55-inch 4K TV</v>
      </c>
      <c r="F1232" s="0" t="s">
        <v>177</v>
      </c>
      <c r="G1232" s="58" t="str">
        <f aca="false">VLOOKUP(F1232,Countries!$A$2:$B$11,2,0)</f>
        <v>Saudi Arabia</v>
      </c>
      <c r="H1232" s="13" t="n">
        <v>31</v>
      </c>
      <c r="I1232" s="13" t="n">
        <v>381300</v>
      </c>
      <c r="J1232" s="0" t="s">
        <v>16</v>
      </c>
      <c r="K1232" s="0" t="s">
        <v>1253</v>
      </c>
    </row>
    <row r="1233" customFormat="false" ht="12.8" hidden="false" customHeight="false" outlineLevel="0" collapsed="false">
      <c r="A1233" s="57" t="n">
        <v>46293</v>
      </c>
      <c r="B1233" s="0" t="s">
        <v>1329</v>
      </c>
      <c r="C1233" s="0" t="s">
        <v>17</v>
      </c>
      <c r="D1233" s="0" t="s">
        <v>109</v>
      </c>
      <c r="E1233" s="58" t="str">
        <f aca="false">VLOOKUP(D1233,Models!$A$2:$B$13,2,0)</f>
        <v>55-inch QLED TV</v>
      </c>
      <c r="F1233" s="0" t="s">
        <v>69</v>
      </c>
      <c r="G1233" s="58" t="str">
        <f aca="false">VLOOKUP(F1233,Countries!$A$2:$B$11,2,0)</f>
        <v>Egypt</v>
      </c>
      <c r="H1233" s="13" t="n">
        <v>29</v>
      </c>
      <c r="I1233" s="13" t="n">
        <v>452400</v>
      </c>
      <c r="J1233" s="0" t="s">
        <v>16</v>
      </c>
      <c r="K1233" s="0" t="s">
        <v>1253</v>
      </c>
    </row>
    <row r="1234" customFormat="false" ht="12.8" hidden="false" customHeight="false" outlineLevel="0" collapsed="false">
      <c r="A1234" s="57" t="n">
        <v>46293</v>
      </c>
      <c r="B1234" s="0" t="s">
        <v>1330</v>
      </c>
      <c r="C1234" s="0" t="s">
        <v>19</v>
      </c>
      <c r="D1234" s="0" t="s">
        <v>90</v>
      </c>
      <c r="E1234" s="58" t="str">
        <f aca="false">VLOOKUP(D1234,Models!$A$2:$B$13,2,0)</f>
        <v>55-inch 4K TV</v>
      </c>
      <c r="F1234" s="0" t="s">
        <v>69</v>
      </c>
      <c r="G1234" s="58" t="str">
        <f aca="false">VLOOKUP(F1234,Countries!$A$2:$B$11,2,0)</f>
        <v>Egypt</v>
      </c>
      <c r="H1234" s="13" t="n">
        <v>22</v>
      </c>
      <c r="I1234" s="13" t="n">
        <v>270600</v>
      </c>
      <c r="J1234" s="0" t="s">
        <v>16</v>
      </c>
      <c r="K1234" s="0" t="s">
        <v>1253</v>
      </c>
    </row>
    <row r="1235" customFormat="false" ht="12.8" hidden="false" customHeight="false" outlineLevel="0" collapsed="false">
      <c r="A1235" s="57" t="n">
        <v>46293</v>
      </c>
      <c r="B1235" s="0" t="s">
        <v>1331</v>
      </c>
      <c r="C1235" s="0" t="s">
        <v>19</v>
      </c>
      <c r="D1235" s="0" t="s">
        <v>95</v>
      </c>
      <c r="E1235" s="58" t="str">
        <f aca="false">VLOOKUP(D1235,Models!$A$2:$B$13,2,0)</f>
        <v>32-inch HD TV</v>
      </c>
      <c r="F1235" s="0" t="s">
        <v>75</v>
      </c>
      <c r="G1235" s="58" t="str">
        <f aca="false">VLOOKUP(F1235,Countries!$A$2:$B$11,2,0)</f>
        <v>Nigeria</v>
      </c>
      <c r="H1235" s="13" t="n">
        <v>46</v>
      </c>
      <c r="I1235" s="13" t="n">
        <v>179400</v>
      </c>
      <c r="J1235" s="0" t="s">
        <v>16</v>
      </c>
      <c r="K1235" s="0" t="s">
        <v>1253</v>
      </c>
    </row>
    <row r="1236" customFormat="false" ht="12.8" hidden="false" customHeight="false" outlineLevel="0" collapsed="false">
      <c r="A1236" s="57" t="n">
        <v>46293</v>
      </c>
      <c r="B1236" s="0" t="s">
        <v>1332</v>
      </c>
      <c r="C1236" s="0" t="s">
        <v>20</v>
      </c>
      <c r="D1236" s="0" t="s">
        <v>64</v>
      </c>
      <c r="E1236" s="58" t="str">
        <f aca="false">VLOOKUP(D1236,Models!$A$2:$B$13,2,0)</f>
        <v>32-inch Smart TV</v>
      </c>
      <c r="F1236" s="0" t="s">
        <v>69</v>
      </c>
      <c r="G1236" s="58" t="str">
        <f aca="false">VLOOKUP(F1236,Countries!$A$2:$B$11,2,0)</f>
        <v>Egypt</v>
      </c>
      <c r="H1236" s="13" t="n">
        <v>25</v>
      </c>
      <c r="I1236" s="13" t="n">
        <v>115000</v>
      </c>
      <c r="J1236" s="0" t="s">
        <v>16</v>
      </c>
      <c r="K1236" s="0" t="s">
        <v>1253</v>
      </c>
    </row>
    <row r="1237" customFormat="false" ht="12.8" hidden="false" customHeight="false" outlineLevel="0" collapsed="false">
      <c r="A1237" s="57" t="n">
        <v>46293</v>
      </c>
      <c r="B1237" s="0" t="s">
        <v>1333</v>
      </c>
      <c r="C1237" s="0" t="s">
        <v>20</v>
      </c>
      <c r="D1237" s="0" t="s">
        <v>74</v>
      </c>
      <c r="E1237" s="58" t="str">
        <f aca="false">VLOOKUP(D1237,Models!$A$2:$B$13,2,0)</f>
        <v>40-inch Full HD TV</v>
      </c>
      <c r="F1237" s="0" t="s">
        <v>69</v>
      </c>
      <c r="G1237" s="58" t="str">
        <f aca="false">VLOOKUP(F1237,Countries!$A$2:$B$11,2,0)</f>
        <v>Egypt</v>
      </c>
      <c r="H1237" s="13" t="n">
        <v>12</v>
      </c>
      <c r="I1237" s="13" t="n">
        <v>74400</v>
      </c>
      <c r="J1237" s="0" t="s">
        <v>16</v>
      </c>
      <c r="K1237" s="0" t="s">
        <v>1253</v>
      </c>
    </row>
    <row r="1238" customFormat="false" ht="12.8" hidden="false" customHeight="false" outlineLevel="0" collapsed="false">
      <c r="A1238" s="57" t="n">
        <v>46293</v>
      </c>
      <c r="B1238" s="0" t="s">
        <v>1334</v>
      </c>
      <c r="C1238" s="0" t="s">
        <v>20</v>
      </c>
      <c r="D1238" s="0" t="s">
        <v>77</v>
      </c>
      <c r="E1238" s="58" t="str">
        <f aca="false">VLOOKUP(D1238,Models!$A$2:$B$13,2,0)</f>
        <v>65-inch QLED TV</v>
      </c>
      <c r="F1238" s="0" t="s">
        <v>69</v>
      </c>
      <c r="G1238" s="58" t="str">
        <f aca="false">VLOOKUP(F1238,Countries!$A$2:$B$11,2,0)</f>
        <v>Egypt</v>
      </c>
      <c r="H1238" s="13" t="n">
        <v>14</v>
      </c>
      <c r="I1238" s="13" t="n">
        <v>343000</v>
      </c>
      <c r="J1238" s="0" t="s">
        <v>16</v>
      </c>
      <c r="K1238" s="0" t="s">
        <v>1253</v>
      </c>
    </row>
    <row r="1239" customFormat="false" ht="12.8" hidden="false" customHeight="false" outlineLevel="0" collapsed="false">
      <c r="A1239" s="57" t="n">
        <v>46293</v>
      </c>
      <c r="B1239" s="0" t="s">
        <v>1335</v>
      </c>
      <c r="C1239" s="0" t="s">
        <v>21</v>
      </c>
      <c r="D1239" s="0" t="s">
        <v>92</v>
      </c>
      <c r="E1239" s="58" t="str">
        <f aca="false">VLOOKUP(D1239,Models!$A$2:$B$13,2,0)</f>
        <v>65-inch 4K TV</v>
      </c>
      <c r="F1239" s="0" t="s">
        <v>83</v>
      </c>
      <c r="G1239" s="58" t="str">
        <f aca="false">VLOOKUP(F1239,Countries!$A$2:$B$11,2,0)</f>
        <v>United Arab Emirates</v>
      </c>
      <c r="H1239" s="13" t="n">
        <v>5</v>
      </c>
      <c r="I1239" s="13" t="n">
        <v>99000</v>
      </c>
      <c r="J1239" s="0" t="s">
        <v>16</v>
      </c>
      <c r="K1239" s="0" t="s">
        <v>1253</v>
      </c>
    </row>
    <row r="1240" customFormat="false" ht="12.8" hidden="false" customHeight="false" outlineLevel="0" collapsed="false">
      <c r="A1240" s="57" t="n">
        <v>46293</v>
      </c>
      <c r="B1240" s="0" t="s">
        <v>1336</v>
      </c>
      <c r="C1240" s="0" t="s">
        <v>21</v>
      </c>
      <c r="D1240" s="0" t="s">
        <v>95</v>
      </c>
      <c r="E1240" s="58" t="str">
        <f aca="false">VLOOKUP(D1240,Models!$A$2:$B$13,2,0)</f>
        <v>32-inch HD TV</v>
      </c>
      <c r="F1240" s="0" t="s">
        <v>69</v>
      </c>
      <c r="G1240" s="58" t="str">
        <f aca="false">VLOOKUP(F1240,Countries!$A$2:$B$11,2,0)</f>
        <v>Egypt</v>
      </c>
      <c r="H1240" s="13" t="n">
        <v>53</v>
      </c>
      <c r="I1240" s="13" t="n">
        <v>206700</v>
      </c>
      <c r="J1240" s="0" t="s">
        <v>16</v>
      </c>
      <c r="K1240" s="0" t="s">
        <v>1253</v>
      </c>
    </row>
    <row r="1241" customFormat="false" ht="12.8" hidden="false" customHeight="false" outlineLevel="0" collapsed="false">
      <c r="A1241" s="57" t="n">
        <v>46293</v>
      </c>
      <c r="B1241" s="0" t="s">
        <v>1337</v>
      </c>
      <c r="C1241" s="0" t="s">
        <v>21</v>
      </c>
      <c r="D1241" s="0" t="s">
        <v>71</v>
      </c>
      <c r="E1241" s="58" t="str">
        <f aca="false">VLOOKUP(D1241,Models!$A$2:$B$13,2,0)</f>
        <v>43-inch Full HD TV</v>
      </c>
      <c r="F1241" s="0" t="s">
        <v>69</v>
      </c>
      <c r="G1241" s="58" t="str">
        <f aca="false">VLOOKUP(F1241,Countries!$A$2:$B$11,2,0)</f>
        <v>Egypt</v>
      </c>
      <c r="H1241" s="13" t="n">
        <v>13</v>
      </c>
      <c r="I1241" s="13" t="n">
        <v>89700</v>
      </c>
      <c r="J1241" s="0" t="s">
        <v>16</v>
      </c>
      <c r="K1241" s="0" t="s">
        <v>1253</v>
      </c>
    </row>
    <row r="1242" customFormat="false" ht="12.8" hidden="false" customHeight="false" outlineLevel="0" collapsed="false">
      <c r="A1242" s="57" t="n">
        <v>46294</v>
      </c>
      <c r="B1242" s="0" t="s">
        <v>1338</v>
      </c>
      <c r="C1242" s="0" t="s">
        <v>13</v>
      </c>
      <c r="D1242" s="0" t="s">
        <v>81</v>
      </c>
      <c r="E1242" s="58" t="str">
        <f aca="false">VLOOKUP(D1242,Models!$A$2:$B$13,2,0)</f>
        <v>43-inch Smart TV</v>
      </c>
      <c r="F1242" s="0" t="s">
        <v>69</v>
      </c>
      <c r="G1242" s="58" t="str">
        <f aca="false">VLOOKUP(F1242,Countries!$A$2:$B$11,2,0)</f>
        <v>Egypt</v>
      </c>
      <c r="H1242" s="13" t="n">
        <v>46</v>
      </c>
      <c r="I1242" s="13" t="n">
        <v>358800</v>
      </c>
      <c r="J1242" s="0" t="s">
        <v>16</v>
      </c>
      <c r="K1242" s="0" t="s">
        <v>1253</v>
      </c>
    </row>
    <row r="1243" customFormat="false" ht="12.8" hidden="false" customHeight="false" outlineLevel="0" collapsed="false">
      <c r="A1243" s="57" t="n">
        <v>46294</v>
      </c>
      <c r="B1243" s="0" t="s">
        <v>1339</v>
      </c>
      <c r="C1243" s="0" t="s">
        <v>13</v>
      </c>
      <c r="D1243" s="0" t="s">
        <v>77</v>
      </c>
      <c r="E1243" s="58" t="str">
        <f aca="false">VLOOKUP(D1243,Models!$A$2:$B$13,2,0)</f>
        <v>65-inch QLED TV</v>
      </c>
      <c r="F1243" s="0" t="s">
        <v>69</v>
      </c>
      <c r="G1243" s="58" t="str">
        <f aca="false">VLOOKUP(F1243,Countries!$A$2:$B$11,2,0)</f>
        <v>Egypt</v>
      </c>
      <c r="H1243" s="13" t="n">
        <v>17</v>
      </c>
      <c r="I1243" s="13" t="n">
        <v>416500</v>
      </c>
      <c r="J1243" s="0" t="s">
        <v>16</v>
      </c>
      <c r="K1243" s="0" t="s">
        <v>1253</v>
      </c>
    </row>
    <row r="1244" customFormat="false" ht="12.8" hidden="false" customHeight="false" outlineLevel="0" collapsed="false">
      <c r="A1244" s="57" t="n">
        <v>46294</v>
      </c>
      <c r="B1244" s="0" t="s">
        <v>1340</v>
      </c>
      <c r="C1244" s="0" t="s">
        <v>13</v>
      </c>
      <c r="D1244" s="0" t="s">
        <v>90</v>
      </c>
      <c r="E1244" s="58" t="str">
        <f aca="false">VLOOKUP(D1244,Models!$A$2:$B$13,2,0)</f>
        <v>55-inch 4K TV</v>
      </c>
      <c r="F1244" s="0" t="s">
        <v>69</v>
      </c>
      <c r="G1244" s="58" t="str">
        <f aca="false">VLOOKUP(F1244,Countries!$A$2:$B$11,2,0)</f>
        <v>Egypt</v>
      </c>
      <c r="H1244" s="13" t="n">
        <v>10</v>
      </c>
      <c r="I1244" s="13" t="n">
        <v>123000</v>
      </c>
      <c r="J1244" s="0" t="s">
        <v>16</v>
      </c>
      <c r="K1244" s="0" t="s">
        <v>1253</v>
      </c>
    </row>
    <row r="1245" customFormat="false" ht="12.8" hidden="false" customHeight="false" outlineLevel="0" collapsed="false">
      <c r="A1245" s="57" t="n">
        <v>46294</v>
      </c>
      <c r="B1245" s="0" t="s">
        <v>1341</v>
      </c>
      <c r="C1245" s="0" t="s">
        <v>13</v>
      </c>
      <c r="D1245" s="0" t="s">
        <v>77</v>
      </c>
      <c r="E1245" s="58" t="str">
        <f aca="false">VLOOKUP(D1245,Models!$A$2:$B$13,2,0)</f>
        <v>65-inch QLED TV</v>
      </c>
      <c r="F1245" s="0" t="s">
        <v>98</v>
      </c>
      <c r="G1245" s="58" t="str">
        <f aca="false">VLOOKUP(F1245,Countries!$A$2:$B$11,2,0)</f>
        <v>Libya</v>
      </c>
      <c r="H1245" s="13" t="n">
        <v>21</v>
      </c>
      <c r="I1245" s="13" t="n">
        <v>514500</v>
      </c>
      <c r="J1245" s="0" t="s">
        <v>16</v>
      </c>
      <c r="K1245" s="0" t="s">
        <v>1253</v>
      </c>
    </row>
    <row r="1246" customFormat="false" ht="12.8" hidden="false" customHeight="false" outlineLevel="0" collapsed="false">
      <c r="A1246" s="57" t="n">
        <v>46294</v>
      </c>
      <c r="B1246" s="0" t="s">
        <v>1342</v>
      </c>
      <c r="C1246" s="0" t="s">
        <v>13</v>
      </c>
      <c r="D1246" s="0" t="s">
        <v>95</v>
      </c>
      <c r="E1246" s="58" t="str">
        <f aca="false">VLOOKUP(D1246,Models!$A$2:$B$13,2,0)</f>
        <v>32-inch HD TV</v>
      </c>
      <c r="F1246" s="0" t="s">
        <v>69</v>
      </c>
      <c r="G1246" s="58" t="str">
        <f aca="false">VLOOKUP(F1246,Countries!$A$2:$B$11,2,0)</f>
        <v>Egypt</v>
      </c>
      <c r="H1246" s="13" t="n">
        <v>51</v>
      </c>
      <c r="I1246" s="13" t="n">
        <v>198900</v>
      </c>
      <c r="J1246" s="0" t="s">
        <v>16</v>
      </c>
      <c r="K1246" s="0" t="s">
        <v>1253</v>
      </c>
    </row>
    <row r="1247" customFormat="false" ht="12.8" hidden="false" customHeight="false" outlineLevel="0" collapsed="false">
      <c r="A1247" s="57" t="n">
        <v>46294</v>
      </c>
      <c r="B1247" s="0" t="s">
        <v>1343</v>
      </c>
      <c r="C1247" s="0" t="s">
        <v>13</v>
      </c>
      <c r="D1247" s="0" t="s">
        <v>90</v>
      </c>
      <c r="E1247" s="58" t="str">
        <f aca="false">VLOOKUP(D1247,Models!$A$2:$B$13,2,0)</f>
        <v>55-inch 4K TV</v>
      </c>
      <c r="F1247" s="0" t="s">
        <v>72</v>
      </c>
      <c r="G1247" s="58" t="str">
        <f aca="false">VLOOKUP(F1247,Countries!$A$2:$B$11,2,0)</f>
        <v>Kenya</v>
      </c>
      <c r="H1247" s="13" t="n">
        <v>23</v>
      </c>
      <c r="I1247" s="13" t="n">
        <v>282900</v>
      </c>
      <c r="J1247" s="0" t="s">
        <v>16</v>
      </c>
      <c r="K1247" s="0" t="s">
        <v>1253</v>
      </c>
    </row>
    <row r="1248" customFormat="false" ht="12.8" hidden="false" customHeight="false" outlineLevel="0" collapsed="false">
      <c r="A1248" s="57" t="n">
        <v>46294</v>
      </c>
      <c r="B1248" s="0" t="s">
        <v>1344</v>
      </c>
      <c r="C1248" s="0" t="s">
        <v>15</v>
      </c>
      <c r="D1248" s="0" t="s">
        <v>85</v>
      </c>
      <c r="E1248" s="58" t="str">
        <f aca="false">VLOOKUP(D1248,Models!$A$2:$B$13,2,0)</f>
        <v>75-inch 4K TV</v>
      </c>
      <c r="F1248" s="0" t="s">
        <v>69</v>
      </c>
      <c r="G1248" s="58" t="str">
        <f aca="false">VLOOKUP(F1248,Countries!$A$2:$B$11,2,0)</f>
        <v>Egypt</v>
      </c>
      <c r="H1248" s="13" t="n">
        <v>12</v>
      </c>
      <c r="I1248" s="13" t="n">
        <v>374400</v>
      </c>
      <c r="J1248" s="0" t="s">
        <v>16</v>
      </c>
      <c r="K1248" s="0" t="s">
        <v>1253</v>
      </c>
    </row>
    <row r="1249" customFormat="false" ht="12.8" hidden="false" customHeight="false" outlineLevel="0" collapsed="false">
      <c r="A1249" s="57" t="n">
        <v>46294</v>
      </c>
      <c r="B1249" s="0" t="s">
        <v>1345</v>
      </c>
      <c r="C1249" s="0" t="s">
        <v>15</v>
      </c>
      <c r="D1249" s="0" t="s">
        <v>77</v>
      </c>
      <c r="E1249" s="58" t="str">
        <f aca="false">VLOOKUP(D1249,Models!$A$2:$B$13,2,0)</f>
        <v>65-inch QLED TV</v>
      </c>
      <c r="F1249" s="0" t="s">
        <v>83</v>
      </c>
      <c r="G1249" s="58" t="str">
        <f aca="false">VLOOKUP(F1249,Countries!$A$2:$B$11,2,0)</f>
        <v>United Arab Emirates</v>
      </c>
      <c r="H1249" s="13" t="n">
        <v>21</v>
      </c>
      <c r="I1249" s="13" t="n">
        <v>514500</v>
      </c>
      <c r="J1249" s="0" t="s">
        <v>16</v>
      </c>
      <c r="K1249" s="0" t="s">
        <v>1253</v>
      </c>
    </row>
    <row r="1250" customFormat="false" ht="12.8" hidden="false" customHeight="false" outlineLevel="0" collapsed="false">
      <c r="A1250" s="57" t="n">
        <v>46294</v>
      </c>
      <c r="B1250" s="0" t="s">
        <v>1346</v>
      </c>
      <c r="C1250" s="0" t="s">
        <v>15</v>
      </c>
      <c r="D1250" s="0" t="s">
        <v>88</v>
      </c>
      <c r="E1250" s="58" t="str">
        <f aca="false">VLOOKUP(D1250,Models!$A$2:$B$13,2,0)</f>
        <v>24-inch HD TV</v>
      </c>
      <c r="F1250" s="0" t="s">
        <v>75</v>
      </c>
      <c r="G1250" s="58" t="str">
        <f aca="false">VLOOKUP(F1250,Countries!$A$2:$B$11,2,0)</f>
        <v>Nigeria</v>
      </c>
      <c r="H1250" s="13" t="n">
        <v>57</v>
      </c>
      <c r="I1250" s="13" t="n">
        <v>165300</v>
      </c>
      <c r="J1250" s="0" t="s">
        <v>16</v>
      </c>
      <c r="K1250" s="0" t="s">
        <v>1253</v>
      </c>
    </row>
    <row r="1251" customFormat="false" ht="12.8" hidden="false" customHeight="false" outlineLevel="0" collapsed="false">
      <c r="A1251" s="57" t="n">
        <v>46294</v>
      </c>
      <c r="B1251" s="0" t="s">
        <v>1347</v>
      </c>
      <c r="C1251" s="0" t="s">
        <v>17</v>
      </c>
      <c r="D1251" s="0" t="s">
        <v>88</v>
      </c>
      <c r="E1251" s="58" t="str">
        <f aca="false">VLOOKUP(D1251,Models!$A$2:$B$13,2,0)</f>
        <v>24-inch HD TV</v>
      </c>
      <c r="F1251" s="0" t="s">
        <v>69</v>
      </c>
      <c r="G1251" s="58" t="str">
        <f aca="false">VLOOKUP(F1251,Countries!$A$2:$B$11,2,0)</f>
        <v>Egypt</v>
      </c>
      <c r="H1251" s="13" t="n">
        <v>19</v>
      </c>
      <c r="I1251" s="13" t="n">
        <v>55100</v>
      </c>
      <c r="J1251" s="0" t="s">
        <v>16</v>
      </c>
      <c r="K1251" s="0" t="s">
        <v>1253</v>
      </c>
    </row>
    <row r="1252" customFormat="false" ht="12.8" hidden="false" customHeight="false" outlineLevel="0" collapsed="false">
      <c r="A1252" s="57" t="n">
        <v>46294</v>
      </c>
      <c r="B1252" s="0" t="s">
        <v>1348</v>
      </c>
      <c r="C1252" s="0" t="s">
        <v>19</v>
      </c>
      <c r="D1252" s="0" t="s">
        <v>77</v>
      </c>
      <c r="E1252" s="58" t="str">
        <f aca="false">VLOOKUP(D1252,Models!$A$2:$B$13,2,0)</f>
        <v>65-inch QLED TV</v>
      </c>
      <c r="F1252" s="0" t="s">
        <v>72</v>
      </c>
      <c r="G1252" s="58" t="str">
        <f aca="false">VLOOKUP(F1252,Countries!$A$2:$B$11,2,0)</f>
        <v>Kenya</v>
      </c>
      <c r="H1252" s="13" t="n">
        <v>10</v>
      </c>
      <c r="I1252" s="13" t="n">
        <v>245000</v>
      </c>
      <c r="J1252" s="0" t="s">
        <v>16</v>
      </c>
      <c r="K1252" s="0" t="s">
        <v>1253</v>
      </c>
    </row>
    <row r="1253" customFormat="false" ht="12.8" hidden="false" customHeight="false" outlineLevel="0" collapsed="false">
      <c r="A1253" s="57" t="n">
        <v>46294</v>
      </c>
      <c r="B1253" s="0" t="s">
        <v>1349</v>
      </c>
      <c r="C1253" s="0" t="s">
        <v>19</v>
      </c>
      <c r="D1253" s="0" t="s">
        <v>64</v>
      </c>
      <c r="E1253" s="58" t="str">
        <f aca="false">VLOOKUP(D1253,Models!$A$2:$B$13,2,0)</f>
        <v>32-inch Smart TV</v>
      </c>
      <c r="F1253" s="0" t="s">
        <v>69</v>
      </c>
      <c r="G1253" s="58" t="str">
        <f aca="false">VLOOKUP(F1253,Countries!$A$2:$B$11,2,0)</f>
        <v>Egypt</v>
      </c>
      <c r="H1253" s="13" t="n">
        <v>55</v>
      </c>
      <c r="I1253" s="13" t="n">
        <v>253000</v>
      </c>
      <c r="J1253" s="0" t="s">
        <v>16</v>
      </c>
      <c r="K1253" s="0" t="s">
        <v>1253</v>
      </c>
    </row>
    <row r="1254" customFormat="false" ht="12.8" hidden="false" customHeight="false" outlineLevel="0" collapsed="false">
      <c r="A1254" s="57" t="n">
        <v>46294</v>
      </c>
      <c r="B1254" s="0" t="s">
        <v>1350</v>
      </c>
      <c r="C1254" s="0" t="s">
        <v>20</v>
      </c>
      <c r="D1254" s="0" t="s">
        <v>92</v>
      </c>
      <c r="E1254" s="58" t="str">
        <f aca="false">VLOOKUP(D1254,Models!$A$2:$B$13,2,0)</f>
        <v>65-inch 4K TV</v>
      </c>
      <c r="F1254" s="0" t="s">
        <v>83</v>
      </c>
      <c r="G1254" s="58" t="str">
        <f aca="false">VLOOKUP(F1254,Countries!$A$2:$B$11,2,0)</f>
        <v>United Arab Emirates</v>
      </c>
      <c r="H1254" s="13" t="n">
        <v>9</v>
      </c>
      <c r="I1254" s="13" t="n">
        <v>178200</v>
      </c>
      <c r="J1254" s="0" t="s">
        <v>16</v>
      </c>
      <c r="K1254" s="0" t="s">
        <v>1253</v>
      </c>
    </row>
    <row r="1255" customFormat="false" ht="12.8" hidden="false" customHeight="false" outlineLevel="0" collapsed="false">
      <c r="A1255" s="57" t="n">
        <v>46294</v>
      </c>
      <c r="B1255" s="0" t="s">
        <v>1351</v>
      </c>
      <c r="C1255" s="0" t="s">
        <v>21</v>
      </c>
      <c r="D1255" s="0" t="s">
        <v>95</v>
      </c>
      <c r="E1255" s="58" t="str">
        <f aca="false">VLOOKUP(D1255,Models!$A$2:$B$13,2,0)</f>
        <v>32-inch HD TV</v>
      </c>
      <c r="F1255" s="0" t="s">
        <v>69</v>
      </c>
      <c r="G1255" s="58" t="str">
        <f aca="false">VLOOKUP(F1255,Countries!$A$2:$B$11,2,0)</f>
        <v>Egypt</v>
      </c>
      <c r="H1255" s="13" t="n">
        <v>13</v>
      </c>
      <c r="I1255" s="13" t="n">
        <v>50700</v>
      </c>
      <c r="J1255" s="0" t="s">
        <v>16</v>
      </c>
      <c r="K1255" s="0" t="s">
        <v>1253</v>
      </c>
    </row>
    <row r="1256" customFormat="false" ht="12.8" hidden="false" customHeight="false" outlineLevel="0" collapsed="false">
      <c r="A1256" s="57" t="n">
        <v>46294</v>
      </c>
      <c r="B1256" s="0" t="s">
        <v>1352</v>
      </c>
      <c r="C1256" s="0" t="s">
        <v>21</v>
      </c>
      <c r="D1256" s="0" t="s">
        <v>68</v>
      </c>
      <c r="E1256" s="58" t="str">
        <f aca="false">VLOOKUP(D1256,Models!$A$2:$B$13,2,0)</f>
        <v>50-inch 4K TV</v>
      </c>
      <c r="F1256" s="0" t="s">
        <v>65</v>
      </c>
      <c r="G1256" s="58" t="str">
        <f aca="false">VLOOKUP(F1256,Countries!$A$2:$B$11,2,0)</f>
        <v>Jordan</v>
      </c>
      <c r="H1256" s="13" t="n">
        <v>22</v>
      </c>
      <c r="I1256" s="13" t="n">
        <v>228800</v>
      </c>
      <c r="J1256" s="0" t="s">
        <v>16</v>
      </c>
      <c r="K1256" s="0" t="s">
        <v>1253</v>
      </c>
    </row>
    <row r="1257" customFormat="false" ht="12.8" hidden="false" customHeight="false" outlineLevel="0" collapsed="false">
      <c r="A1257" s="57" t="n">
        <v>46295</v>
      </c>
      <c r="B1257" s="0" t="s">
        <v>1353</v>
      </c>
      <c r="C1257" s="0" t="s">
        <v>13</v>
      </c>
      <c r="D1257" s="0" t="s">
        <v>71</v>
      </c>
      <c r="E1257" s="58" t="str">
        <f aca="false">VLOOKUP(D1257,Models!$A$2:$B$13,2,0)</f>
        <v>43-inch Full HD TV</v>
      </c>
      <c r="F1257" s="0" t="s">
        <v>69</v>
      </c>
      <c r="G1257" s="58" t="str">
        <f aca="false">VLOOKUP(F1257,Countries!$A$2:$B$11,2,0)</f>
        <v>Egypt</v>
      </c>
      <c r="H1257" s="13" t="n">
        <v>19</v>
      </c>
      <c r="I1257" s="13" t="n">
        <v>131100</v>
      </c>
      <c r="J1257" s="0" t="s">
        <v>16</v>
      </c>
      <c r="K1257" s="0" t="s">
        <v>1253</v>
      </c>
    </row>
    <row r="1258" customFormat="false" ht="12.8" hidden="false" customHeight="false" outlineLevel="0" collapsed="false">
      <c r="A1258" s="57" t="n">
        <v>46295</v>
      </c>
      <c r="B1258" s="0" t="s">
        <v>1354</v>
      </c>
      <c r="C1258" s="0" t="s">
        <v>15</v>
      </c>
      <c r="D1258" s="0" t="s">
        <v>77</v>
      </c>
      <c r="E1258" s="58" t="str">
        <f aca="false">VLOOKUP(D1258,Models!$A$2:$B$13,2,0)</f>
        <v>65-inch QLED TV</v>
      </c>
      <c r="F1258" s="0" t="s">
        <v>69</v>
      </c>
      <c r="G1258" s="58" t="str">
        <f aca="false">VLOOKUP(F1258,Countries!$A$2:$B$11,2,0)</f>
        <v>Egypt</v>
      </c>
      <c r="H1258" s="13" t="n">
        <v>20</v>
      </c>
      <c r="I1258" s="13" t="n">
        <v>490000</v>
      </c>
      <c r="J1258" s="0" t="s">
        <v>16</v>
      </c>
      <c r="K1258" s="0" t="s">
        <v>1253</v>
      </c>
    </row>
    <row r="1259" customFormat="false" ht="12.8" hidden="false" customHeight="false" outlineLevel="0" collapsed="false">
      <c r="A1259" s="57" t="n">
        <v>46295</v>
      </c>
      <c r="B1259" s="0" t="s">
        <v>1355</v>
      </c>
      <c r="C1259" s="0" t="s">
        <v>15</v>
      </c>
      <c r="D1259" s="0" t="s">
        <v>74</v>
      </c>
      <c r="E1259" s="58" t="str">
        <f aca="false">VLOOKUP(D1259,Models!$A$2:$B$13,2,0)</f>
        <v>40-inch Full HD TV</v>
      </c>
      <c r="F1259" s="0" t="s">
        <v>69</v>
      </c>
      <c r="G1259" s="58" t="str">
        <f aca="false">VLOOKUP(F1259,Countries!$A$2:$B$11,2,0)</f>
        <v>Egypt</v>
      </c>
      <c r="H1259" s="13" t="n">
        <v>26</v>
      </c>
      <c r="I1259" s="13" t="n">
        <v>161200</v>
      </c>
      <c r="J1259" s="0" t="s">
        <v>16</v>
      </c>
      <c r="K1259" s="0" t="s">
        <v>1253</v>
      </c>
    </row>
    <row r="1260" customFormat="false" ht="12.8" hidden="false" customHeight="false" outlineLevel="0" collapsed="false">
      <c r="A1260" s="57" t="n">
        <v>46295</v>
      </c>
      <c r="B1260" s="0" t="s">
        <v>1356</v>
      </c>
      <c r="C1260" s="0" t="s">
        <v>17</v>
      </c>
      <c r="D1260" s="0" t="s">
        <v>77</v>
      </c>
      <c r="E1260" s="58" t="str">
        <f aca="false">VLOOKUP(D1260,Models!$A$2:$B$13,2,0)</f>
        <v>65-inch QLED TV</v>
      </c>
      <c r="F1260" s="0" t="s">
        <v>69</v>
      </c>
      <c r="G1260" s="58" t="str">
        <f aca="false">VLOOKUP(F1260,Countries!$A$2:$B$11,2,0)</f>
        <v>Egypt</v>
      </c>
      <c r="H1260" s="13" t="n">
        <v>18</v>
      </c>
      <c r="I1260" s="13" t="n">
        <v>441000</v>
      </c>
      <c r="J1260" s="0" t="s">
        <v>16</v>
      </c>
      <c r="K1260" s="0" t="s">
        <v>1253</v>
      </c>
    </row>
    <row r="1261" customFormat="false" ht="12.8" hidden="false" customHeight="false" outlineLevel="0" collapsed="false">
      <c r="A1261" s="57" t="n">
        <v>46295</v>
      </c>
      <c r="B1261" s="0" t="s">
        <v>1357</v>
      </c>
      <c r="C1261" s="0" t="s">
        <v>17</v>
      </c>
      <c r="D1261" s="0" t="s">
        <v>92</v>
      </c>
      <c r="E1261" s="58" t="str">
        <f aca="false">VLOOKUP(D1261,Models!$A$2:$B$13,2,0)</f>
        <v>65-inch 4K TV</v>
      </c>
      <c r="F1261" s="0" t="s">
        <v>69</v>
      </c>
      <c r="G1261" s="58" t="str">
        <f aca="false">VLOOKUP(F1261,Countries!$A$2:$B$11,2,0)</f>
        <v>Egypt</v>
      </c>
      <c r="H1261" s="13" t="n">
        <v>14</v>
      </c>
      <c r="I1261" s="13" t="n">
        <v>277200</v>
      </c>
      <c r="J1261" s="0" t="s">
        <v>16</v>
      </c>
      <c r="K1261" s="0" t="s">
        <v>1253</v>
      </c>
    </row>
    <row r="1262" customFormat="false" ht="12.8" hidden="false" customHeight="false" outlineLevel="0" collapsed="false">
      <c r="A1262" s="57" t="n">
        <v>46295</v>
      </c>
      <c r="B1262" s="0" t="s">
        <v>1358</v>
      </c>
      <c r="C1262" s="0" t="s">
        <v>19</v>
      </c>
      <c r="D1262" s="0" t="s">
        <v>68</v>
      </c>
      <c r="E1262" s="58" t="str">
        <f aca="false">VLOOKUP(D1262,Models!$A$2:$B$13,2,0)</f>
        <v>50-inch 4K TV</v>
      </c>
      <c r="F1262" s="0" t="s">
        <v>69</v>
      </c>
      <c r="G1262" s="58" t="str">
        <f aca="false">VLOOKUP(F1262,Countries!$A$2:$B$11,2,0)</f>
        <v>Egypt</v>
      </c>
      <c r="H1262" s="13" t="n">
        <v>16</v>
      </c>
      <c r="I1262" s="13" t="n">
        <v>166400</v>
      </c>
      <c r="J1262" s="0" t="s">
        <v>16</v>
      </c>
      <c r="K1262" s="0" t="s">
        <v>1253</v>
      </c>
    </row>
    <row r="1263" customFormat="false" ht="12.8" hidden="false" customHeight="false" outlineLevel="0" collapsed="false">
      <c r="A1263" s="57" t="n">
        <v>46295</v>
      </c>
      <c r="B1263" s="0" t="s">
        <v>1359</v>
      </c>
      <c r="C1263" s="0" t="s">
        <v>20</v>
      </c>
      <c r="D1263" s="0" t="s">
        <v>85</v>
      </c>
      <c r="E1263" s="58" t="str">
        <f aca="false">VLOOKUP(D1263,Models!$A$2:$B$13,2,0)</f>
        <v>75-inch 4K TV</v>
      </c>
      <c r="F1263" s="0" t="s">
        <v>69</v>
      </c>
      <c r="G1263" s="58" t="str">
        <f aca="false">VLOOKUP(F1263,Countries!$A$2:$B$11,2,0)</f>
        <v>Egypt</v>
      </c>
      <c r="H1263" s="13" t="n">
        <v>9</v>
      </c>
      <c r="I1263" s="13" t="n">
        <v>280800</v>
      </c>
      <c r="J1263" s="0" t="s">
        <v>16</v>
      </c>
      <c r="K1263" s="0" t="s">
        <v>1253</v>
      </c>
    </row>
    <row r="1264" customFormat="false" ht="12.8" hidden="false" customHeight="false" outlineLevel="0" collapsed="false">
      <c r="A1264" s="57" t="n">
        <v>46295</v>
      </c>
      <c r="B1264" s="0" t="s">
        <v>1360</v>
      </c>
      <c r="C1264" s="0" t="s">
        <v>20</v>
      </c>
      <c r="D1264" s="0" t="s">
        <v>109</v>
      </c>
      <c r="E1264" s="58" t="str">
        <f aca="false">VLOOKUP(D1264,Models!$A$2:$B$13,2,0)</f>
        <v>55-inch QLED TV</v>
      </c>
      <c r="F1264" s="0" t="s">
        <v>65</v>
      </c>
      <c r="G1264" s="58" t="str">
        <f aca="false">VLOOKUP(F1264,Countries!$A$2:$B$11,2,0)</f>
        <v>Jordan</v>
      </c>
      <c r="H1264" s="13" t="n">
        <v>34</v>
      </c>
      <c r="I1264" s="13" t="n">
        <v>530400</v>
      </c>
      <c r="J1264" s="0" t="s">
        <v>16</v>
      </c>
      <c r="K1264" s="0" t="s">
        <v>1253</v>
      </c>
    </row>
    <row r="1265" customFormat="false" ht="12.8" hidden="false" customHeight="false" outlineLevel="0" collapsed="false">
      <c r="A1265" s="57" t="n">
        <v>46295</v>
      </c>
      <c r="B1265" s="0" t="s">
        <v>1361</v>
      </c>
      <c r="C1265" s="0" t="s">
        <v>20</v>
      </c>
      <c r="D1265" s="0" t="s">
        <v>74</v>
      </c>
      <c r="E1265" s="58" t="str">
        <f aca="false">VLOOKUP(D1265,Models!$A$2:$B$13,2,0)</f>
        <v>40-inch Full HD TV</v>
      </c>
      <c r="F1265" s="0" t="s">
        <v>65</v>
      </c>
      <c r="G1265" s="58" t="str">
        <f aca="false">VLOOKUP(F1265,Countries!$A$2:$B$11,2,0)</f>
        <v>Jordan</v>
      </c>
      <c r="H1265" s="13" t="n">
        <v>38</v>
      </c>
      <c r="I1265" s="13" t="n">
        <v>235600</v>
      </c>
      <c r="J1265" s="0" t="s">
        <v>16</v>
      </c>
      <c r="K1265" s="0" t="s">
        <v>1253</v>
      </c>
    </row>
    <row r="1266" customFormat="false" ht="12.8" hidden="false" customHeight="false" outlineLevel="0" collapsed="false">
      <c r="A1266" s="57" t="n">
        <v>46295</v>
      </c>
      <c r="B1266" s="0" t="s">
        <v>1362</v>
      </c>
      <c r="C1266" s="0" t="s">
        <v>21</v>
      </c>
      <c r="D1266" s="0" t="s">
        <v>64</v>
      </c>
      <c r="E1266" s="58" t="str">
        <f aca="false">VLOOKUP(D1266,Models!$A$2:$B$13,2,0)</f>
        <v>32-inch Smart TV</v>
      </c>
      <c r="F1266" s="0" t="s">
        <v>72</v>
      </c>
      <c r="G1266" s="58" t="str">
        <f aca="false">VLOOKUP(F1266,Countries!$A$2:$B$11,2,0)</f>
        <v>Kenya</v>
      </c>
      <c r="H1266" s="13" t="n">
        <v>6</v>
      </c>
      <c r="I1266" s="13" t="n">
        <v>27600</v>
      </c>
      <c r="J1266" s="0" t="s">
        <v>16</v>
      </c>
      <c r="K1266" s="0" t="s">
        <v>1253</v>
      </c>
    </row>
    <row r="1267" customFormat="false" ht="12.8" hidden="false" customHeight="false" outlineLevel="0" collapsed="false">
      <c r="A1267" s="57" t="n">
        <v>46295</v>
      </c>
      <c r="B1267" s="0" t="s">
        <v>1363</v>
      </c>
      <c r="C1267" s="0" t="s">
        <v>21</v>
      </c>
      <c r="D1267" s="0" t="s">
        <v>109</v>
      </c>
      <c r="E1267" s="58" t="str">
        <f aca="false">VLOOKUP(D1267,Models!$A$2:$B$13,2,0)</f>
        <v>55-inch QLED TV</v>
      </c>
      <c r="F1267" s="0" t="s">
        <v>69</v>
      </c>
      <c r="G1267" s="58" t="str">
        <f aca="false">VLOOKUP(F1267,Countries!$A$2:$B$11,2,0)</f>
        <v>Egypt</v>
      </c>
      <c r="H1267" s="13" t="n">
        <v>21</v>
      </c>
      <c r="I1267" s="13" t="n">
        <v>327600</v>
      </c>
      <c r="J1267" s="0" t="s">
        <v>16</v>
      </c>
      <c r="K1267" s="0" t="s">
        <v>1253</v>
      </c>
    </row>
    <row r="1268" customFormat="false" ht="12.8" hidden="false" customHeight="false" outlineLevel="0" collapsed="false">
      <c r="A1268" s="57" t="n">
        <v>46295</v>
      </c>
      <c r="B1268" s="0" t="s">
        <v>1364</v>
      </c>
      <c r="C1268" s="0" t="s">
        <v>21</v>
      </c>
      <c r="D1268" s="0" t="s">
        <v>81</v>
      </c>
      <c r="E1268" s="58" t="str">
        <f aca="false">VLOOKUP(D1268,Models!$A$2:$B$13,2,0)</f>
        <v>43-inch Smart TV</v>
      </c>
      <c r="F1268" s="0" t="s">
        <v>69</v>
      </c>
      <c r="G1268" s="58" t="str">
        <f aca="false">VLOOKUP(F1268,Countries!$A$2:$B$11,2,0)</f>
        <v>Egypt</v>
      </c>
      <c r="H1268" s="13" t="n">
        <v>35</v>
      </c>
      <c r="I1268" s="13" t="n">
        <v>273000</v>
      </c>
      <c r="J1268" s="0" t="s">
        <v>16</v>
      </c>
      <c r="K1268" s="0" t="s">
        <v>1253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26.56"/>
  </cols>
  <sheetData>
    <row r="1" customFormat="false" ht="12.8" hidden="false" customHeight="false" outlineLevel="0" collapsed="false">
      <c r="A1" s="9" t="s">
        <v>58</v>
      </c>
      <c r="B1" s="9" t="s">
        <v>52</v>
      </c>
    </row>
    <row r="2" customFormat="false" ht="12.8" hidden="false" customHeight="false" outlineLevel="0" collapsed="false">
      <c r="A2" s="0" t="s">
        <v>88</v>
      </c>
      <c r="B2" s="0" t="s">
        <v>36</v>
      </c>
    </row>
    <row r="3" customFormat="false" ht="12.8" hidden="false" customHeight="false" outlineLevel="0" collapsed="false">
      <c r="A3" s="0" t="s">
        <v>95</v>
      </c>
      <c r="B3" s="0" t="s">
        <v>35</v>
      </c>
    </row>
    <row r="4" customFormat="false" ht="12.8" hidden="false" customHeight="false" outlineLevel="0" collapsed="false">
      <c r="A4" s="0" t="s">
        <v>64</v>
      </c>
      <c r="B4" s="0" t="s">
        <v>34</v>
      </c>
    </row>
    <row r="5" customFormat="false" ht="12.8" hidden="false" customHeight="false" outlineLevel="0" collapsed="false">
      <c r="A5" s="0" t="s">
        <v>74</v>
      </c>
      <c r="B5" s="0" t="s">
        <v>38</v>
      </c>
    </row>
    <row r="6" customFormat="false" ht="12.8" hidden="false" customHeight="false" outlineLevel="0" collapsed="false">
      <c r="A6" s="0" t="s">
        <v>71</v>
      </c>
      <c r="B6" s="0" t="s">
        <v>37</v>
      </c>
    </row>
    <row r="7" customFormat="false" ht="12.8" hidden="false" customHeight="false" outlineLevel="0" collapsed="false">
      <c r="A7" s="0" t="s">
        <v>81</v>
      </c>
      <c r="B7" s="0" t="s">
        <v>39</v>
      </c>
    </row>
    <row r="8" customFormat="false" ht="12.8" hidden="false" customHeight="false" outlineLevel="0" collapsed="false">
      <c r="A8" s="0" t="s">
        <v>68</v>
      </c>
      <c r="B8" s="0" t="s">
        <v>42</v>
      </c>
    </row>
    <row r="9" customFormat="false" ht="12.8" hidden="false" customHeight="false" outlineLevel="0" collapsed="false">
      <c r="A9" s="0" t="s">
        <v>90</v>
      </c>
      <c r="B9" s="0" t="s">
        <v>41</v>
      </c>
    </row>
    <row r="10" customFormat="false" ht="12.8" hidden="false" customHeight="false" outlineLevel="0" collapsed="false">
      <c r="A10" s="0" t="s">
        <v>109</v>
      </c>
      <c r="B10" s="0" t="s">
        <v>40</v>
      </c>
    </row>
    <row r="11" customFormat="false" ht="12.8" hidden="false" customHeight="false" outlineLevel="0" collapsed="false">
      <c r="A11" s="0" t="s">
        <v>92</v>
      </c>
      <c r="B11" s="0" t="s">
        <v>44</v>
      </c>
    </row>
    <row r="12" customFormat="false" ht="12.8" hidden="false" customHeight="false" outlineLevel="0" collapsed="false">
      <c r="A12" s="0" t="s">
        <v>77</v>
      </c>
      <c r="B12" s="0" t="s">
        <v>43</v>
      </c>
    </row>
    <row r="13" customFormat="false" ht="12.8" hidden="false" customHeight="false" outlineLevel="0" collapsed="false">
      <c r="A13" s="0" t="s">
        <v>85</v>
      </c>
      <c r="B13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34"/>
    <col collapsed="false" customWidth="true" hidden="false" outlineLevel="0" max="2" min="2" style="0" width="26.56"/>
  </cols>
  <sheetData>
    <row r="1" customFormat="false" ht="12.8" hidden="false" customHeight="false" outlineLevel="0" collapsed="false">
      <c r="A1" s="9" t="s">
        <v>59</v>
      </c>
      <c r="B1" s="9" t="s">
        <v>50</v>
      </c>
    </row>
    <row r="2" customFormat="false" ht="12.8" hidden="false" customHeight="false" outlineLevel="0" collapsed="false">
      <c r="A2" s="0" t="s">
        <v>69</v>
      </c>
      <c r="B2" s="0" t="s">
        <v>23</v>
      </c>
    </row>
    <row r="3" customFormat="false" ht="12.8" hidden="false" customHeight="false" outlineLevel="0" collapsed="false">
      <c r="A3" s="0" t="s">
        <v>177</v>
      </c>
      <c r="B3" s="0" t="s">
        <v>26</v>
      </c>
    </row>
    <row r="4" customFormat="false" ht="12.8" hidden="false" customHeight="false" outlineLevel="0" collapsed="false">
      <c r="A4" s="0" t="s">
        <v>83</v>
      </c>
      <c r="B4" s="0" t="s">
        <v>28</v>
      </c>
    </row>
    <row r="5" customFormat="false" ht="12.8" hidden="false" customHeight="false" outlineLevel="0" collapsed="false">
      <c r="A5" s="0" t="s">
        <v>101</v>
      </c>
      <c r="B5" s="0" t="s">
        <v>32</v>
      </c>
    </row>
    <row r="6" customFormat="false" ht="12.8" hidden="false" customHeight="false" outlineLevel="0" collapsed="false">
      <c r="A6" s="0" t="s">
        <v>65</v>
      </c>
      <c r="B6" s="0" t="s">
        <v>25</v>
      </c>
    </row>
    <row r="7" customFormat="false" ht="12.8" hidden="false" customHeight="false" outlineLevel="0" collapsed="false">
      <c r="A7" s="0" t="s">
        <v>79</v>
      </c>
      <c r="B7" s="0" t="s">
        <v>24</v>
      </c>
    </row>
    <row r="8" customFormat="false" ht="12.8" hidden="false" customHeight="false" outlineLevel="0" collapsed="false">
      <c r="A8" s="0" t="s">
        <v>98</v>
      </c>
      <c r="B8" s="0" t="s">
        <v>31</v>
      </c>
    </row>
    <row r="9" customFormat="false" ht="12.8" hidden="false" customHeight="false" outlineLevel="0" collapsed="false">
      <c r="A9" s="0" t="s">
        <v>103</v>
      </c>
      <c r="B9" s="0" t="s">
        <v>30</v>
      </c>
    </row>
    <row r="10" customFormat="false" ht="12.8" hidden="false" customHeight="false" outlineLevel="0" collapsed="false">
      <c r="A10" s="0" t="s">
        <v>72</v>
      </c>
      <c r="B10" s="0" t="s">
        <v>27</v>
      </c>
    </row>
    <row r="11" customFormat="false" ht="12.8" hidden="false" customHeight="false" outlineLevel="0" collapsed="false">
      <c r="A11" s="0" t="s">
        <v>75</v>
      </c>
      <c r="B11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2026-10-25T06:25:13Z</dcterms:modified>
  <cp:revision>1</cp:revision>
  <dc:subject/>
  <dc:title/>
</cp:coreProperties>
</file>