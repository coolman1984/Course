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port" sheetId="2" state="visible" r:id="rId4"/>
    <sheet name="Pivots" sheetId="3" state="visible" r:id="rId5"/>
    <sheet name="Sales" sheetId="4" state="visible" r:id="rId6"/>
    <sheet name="Shipments" sheetId="5" state="visible" r:id="rId7"/>
    <sheet name="Returns" sheetId="6" state="visible" r:id="rId8"/>
    <sheet name="Targets" sheetId="7" state="visible" r:id="rId9"/>
    <sheet name="Models" sheetId="8" state="visible" r:id="rId10"/>
    <sheet name="Countries" sheetId="9" state="visible" r:id="rId11"/>
  </sheets>
  <calcPr iterateCount="100" refMode="A1" iterate="false" iterateDelta="0.001"/>
  <pivotCaches>
    <pivotCache cacheId="1" r:id="rId13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<sst xmlns="http://schemas.openxmlformats.org/spreadsheetml/2006/main" count="1858" uniqueCount="99">
  <si>
    <t xml:space="preserve">Commercial review - Q3 2026</t>
  </si>
  <si>
    <t xml:space="preserve">Net sales (EGP million)</t>
  </si>
  <si>
    <t xml:space="preserve">Sets sold</t>
  </si>
  <si>
    <t xml:space="preserve">Achievement</t>
  </si>
  <si>
    <t xml:space="preserve">Freight per set (EGP)</t>
  </si>
  <si>
    <t xml:space="preserve">Commercial review - third quarter 2026</t>
  </si>
  <si>
    <t xml:space="preserve">Chart data</t>
  </si>
  <si>
    <t xml:space="preserve">Channel</t>
  </si>
  <si>
    <t xml:space="preserve">Sets</t>
  </si>
  <si>
    <t xml:space="preserve">Net sales (EGP)</t>
  </si>
  <si>
    <t xml:space="preserve">Target (EGP)</t>
  </si>
  <si>
    <t xml:space="preserve">Units shipped</t>
  </si>
  <si>
    <t xml:space="preserve">Freight (EGP)</t>
  </si>
  <si>
    <t xml:space="preserve">Freight per set</t>
  </si>
  <si>
    <t xml:space="preserve">Net sales (EGP M)</t>
  </si>
  <si>
    <t xml:space="preserve">Target (EGP M)</t>
  </si>
  <si>
    <t xml:space="preserve">Cairo</t>
  </si>
  <si>
    <t xml:space="preserve">Alexandria</t>
  </si>
  <si>
    <t xml:space="preserve">Delta</t>
  </si>
  <si>
    <t xml:space="preserve">Export</t>
  </si>
  <si>
    <t xml:space="preserve">Total</t>
  </si>
  <si>
    <t xml:space="preserve">Month</t>
  </si>
  <si>
    <t xml:space="preserve">Export country</t>
  </si>
  <si>
    <t xml:space="preserve">2026-07</t>
  </si>
  <si>
    <t xml:space="preserve">Iraq</t>
  </si>
  <si>
    <t xml:space="preserve">2026-08</t>
  </si>
  <si>
    <t xml:space="preserve">Libya</t>
  </si>
  <si>
    <t xml:space="preserve">2026-09</t>
  </si>
  <si>
    <t xml:space="preserve">Kuwait</t>
  </si>
  <si>
    <t xml:space="preserve">United Arab Emirates</t>
  </si>
  <si>
    <t xml:space="preserve">Saudi Arabia</t>
  </si>
  <si>
    <t xml:space="preserve">Nigeria</t>
  </si>
  <si>
    <t xml:space="preserve">Morocco</t>
  </si>
  <si>
    <t xml:space="preserve">Jordan</t>
  </si>
  <si>
    <t xml:space="preserve">Kenya</t>
  </si>
  <si>
    <t xml:space="preserve">Model</t>
  </si>
  <si>
    <t xml:space="preserve">ModelName</t>
  </si>
  <si>
    <t xml:space="preserve">Returned</t>
  </si>
  <si>
    <t xml:space="preserve">Sold</t>
  </si>
  <si>
    <t xml:space="preserve">Return rate</t>
  </si>
  <si>
    <t xml:space="preserve">M110</t>
  </si>
  <si>
    <t xml:space="preserve">M112</t>
  </si>
  <si>
    <t xml:space="preserve">M111</t>
  </si>
  <si>
    <t xml:space="preserve">M102</t>
  </si>
  <si>
    <t xml:space="preserve">M108</t>
  </si>
  <si>
    <t xml:space="preserve">M104</t>
  </si>
  <si>
    <t xml:space="preserve">M105</t>
  </si>
  <si>
    <t xml:space="preserve">M103</t>
  </si>
  <si>
    <t xml:space="preserve">M109</t>
  </si>
  <si>
    <t xml:space="preserve">M106</t>
  </si>
  <si>
    <t xml:space="preserve">M107</t>
  </si>
  <si>
    <t xml:space="preserve">M101</t>
  </si>
  <si>
    <t xml:space="preserve">Pivot tables over the Sales sheet (Data &gt; Refresh All updates them)</t>
  </si>
  <si>
    <t xml:space="preserve">Sum - NetSales</t>
  </si>
  <si>
    <t xml:space="preserve">Total Result</t>
  </si>
  <si>
    <t xml:space="preserve">CountryName</t>
  </si>
  <si>
    <t xml:space="preserve">Data</t>
  </si>
  <si>
    <t xml:space="preserve">Egypt</t>
  </si>
  <si>
    <t xml:space="preserve">Sum - Qty</t>
  </si>
  <si>
    <t xml:space="preserve">24-inch HD TV</t>
  </si>
  <si>
    <t xml:space="preserve">32-inch HD TV</t>
  </si>
  <si>
    <t xml:space="preserve">32-inch Smart TV</t>
  </si>
  <si>
    <t xml:space="preserve">40-inch Full HD TV</t>
  </si>
  <si>
    <t xml:space="preserve">43-inch Full HD TV</t>
  </si>
  <si>
    <t xml:space="preserve">43-inch Smart TV</t>
  </si>
  <si>
    <t xml:space="preserve">50-inch 4K TV</t>
  </si>
  <si>
    <t xml:space="preserve">55-inch 4K TV</t>
  </si>
  <si>
    <t xml:space="preserve">55-inch QLED TV</t>
  </si>
  <si>
    <t xml:space="preserve">65-inch 4K TV</t>
  </si>
  <si>
    <t xml:space="preserve">Total Sum - Qty</t>
  </si>
  <si>
    <t xml:space="preserve">65-inch QLED TV</t>
  </si>
  <si>
    <t xml:space="preserve">Total Sum - NetSales</t>
  </si>
  <si>
    <t xml:space="preserve">75-inch 4K TV</t>
  </si>
  <si>
    <t xml:space="preserve">CountryCode</t>
  </si>
  <si>
    <t xml:space="preserve">ModelCode</t>
  </si>
  <si>
    <t xml:space="preserve">Qty</t>
  </si>
  <si>
    <t xml:space="preserve">NetSales</t>
  </si>
  <si>
    <t xml:space="preserve">SourceFile</t>
  </si>
  <si>
    <t xml:space="preserve">EG</t>
  </si>
  <si>
    <t xml:space="preserve">Sales_Cairo_Q3.xlsx</t>
  </si>
  <si>
    <t xml:space="preserve">Sales_Alexandria_Q3.xlsx</t>
  </si>
  <si>
    <t xml:space="preserve">Sales_Delta_Q3.xlsx</t>
  </si>
  <si>
    <t xml:space="preserve">AE</t>
  </si>
  <si>
    <t xml:space="preserve">Export_Sales_2026-07.pdf</t>
  </si>
  <si>
    <t xml:space="preserve">IQ</t>
  </si>
  <si>
    <t xml:space="preserve">JO</t>
  </si>
  <si>
    <t xml:space="preserve">KE</t>
  </si>
  <si>
    <t xml:space="preserve">KW</t>
  </si>
  <si>
    <t xml:space="preserve">LY</t>
  </si>
  <si>
    <t xml:space="preserve">MA</t>
  </si>
  <si>
    <t xml:space="preserve">NG</t>
  </si>
  <si>
    <t xml:space="preserve">SA</t>
  </si>
  <si>
    <t xml:space="preserve">Export_Sales_2026-08.pdf</t>
  </si>
  <si>
    <t xml:space="preserve">Export_Sales_2026-09.pdf</t>
  </si>
  <si>
    <t xml:space="preserve">Shipments</t>
  </si>
  <si>
    <t xml:space="preserve">Units</t>
  </si>
  <si>
    <t xml:space="preserve">FreightEGP</t>
  </si>
  <si>
    <t xml:space="preserve">TargetUnits</t>
  </si>
  <si>
    <t xml:space="preserve">TargetSales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</si>
</sst>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.0"/>
    <numFmt numFmtId="166" formatCode="[$-409]#,##0"/>
    <numFmt numFmtId="167" formatCode="[$-409]0.0%"/>
    <numFmt numFmtId="168" formatCode="#,##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8"/>
      <color rgb="FF1F2937"/>
      <name val="Arial"/>
      <family val="2"/>
    </font>
    <font>
      <b val="true"/>
      <sz val="10"/>
      <color rgb="FF6B7280"/>
      <name val="Arial"/>
      <family val="2"/>
    </font>
    <font>
      <b val="true"/>
      <sz val="16"/>
      <color rgb="FF2F5FE6"/>
      <name val="Arial"/>
      <family val="2"/>
    </font>
    <font>
      <sz val="13"/>
      <name val="Arial"/>
      <family val="2"/>
    </font>
    <font>
      <b val="true"/>
      <sz val="16"/>
      <color rgb="FF1F2937"/>
      <name val="Arial"/>
      <family val="2"/>
    </font>
    <font>
      <b val="true"/>
      <sz val="10"/>
      <color rgb="FFFFFFFF"/>
      <name val="Arial"/>
      <family val="2"/>
    </font>
    <font>
      <b val="true"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FE6"/>
        <bgColor rgb="FF0066CC"/>
      </patternFill>
    </fill>
    <fill>
      <patternFill patternType="solid">
        <fgColor rgb="FFE8EEFD"/>
        <bgColor rgb="FFFFFF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E8EE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FE6"/>
      <rgbColor rgb="FF33CCCC"/>
      <rgbColor rgb="FF99CC00"/>
      <rgbColor rgb="FFFFCC00"/>
      <rgbColor rgb="FFFF9900"/>
      <rgbColor rgb="FFFF420E"/>
      <rgbColor rgb="FF6B7280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Net sales and target by channel (EGP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Report!$K$3</c:f>
              <c:strCache>
                <c:ptCount val="1"/>
                <c:pt idx="0">
                  <c:v>Net sales (EGP M)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Report!$J$4:$J$7</c:f>
              <c:strCache>
                <c:ptCount val="4"/>
                <c:pt idx="0">
                  <c:v>Cairo</c:v>
                </c:pt>
                <c:pt idx="1">
                  <c:v>Alexandria</c:v>
                </c:pt>
                <c:pt idx="2">
                  <c:v>Delta</c:v>
                </c:pt>
                <c:pt idx="3">
                  <c:v>Export</c:v>
                </c:pt>
              </c:strCache>
            </c:strRef>
          </c:cat>
          <c:val>
            <c:numRef>
              <c:f>Report!$K$4:$K$7</c:f>
              <c:numCache>
                <c:formatCode>[$-409]#,##0.0</c:formatCode>
                <c:ptCount val="4"/>
                <c:pt idx="0">
                  <c:v>72.43242</c:v>
                </c:pt>
                <c:pt idx="1">
                  <c:v>51.02333</c:v>
                </c:pt>
                <c:pt idx="2">
                  <c:v>57.86214</c:v>
                </c:pt>
                <c:pt idx="3">
                  <c:v>148.32808</c:v>
                </c:pt>
              </c:numCache>
            </c:numRef>
          </c:val>
        </c:ser>
        <c:ser>
          <c:idx val="1"/>
          <c:order val="1"/>
          <c:tx>
            <c:strRef>
              <c:f>Report!$L$3</c:f>
              <c:strCache>
                <c:ptCount val="1"/>
                <c:pt idx="0">
                  <c:v>Target (EGP M)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Report!$J$4:$J$7</c:f>
              <c:strCache>
                <c:ptCount val="4"/>
                <c:pt idx="0">
                  <c:v>Cairo</c:v>
                </c:pt>
                <c:pt idx="1">
                  <c:v>Alexandria</c:v>
                </c:pt>
                <c:pt idx="2">
                  <c:v>Delta</c:v>
                </c:pt>
                <c:pt idx="3">
                  <c:v>Export</c:v>
                </c:pt>
              </c:strCache>
            </c:strRef>
          </c:cat>
          <c:val>
            <c:numRef>
              <c:f>Report!$L$4:$L$7</c:f>
              <c:numCache>
                <c:formatCode>[$-409]#,##0.0</c:formatCode>
                <c:ptCount val="4"/>
                <c:pt idx="0">
                  <c:v>75</c:v>
                </c:pt>
                <c:pt idx="1">
                  <c:v>47</c:v>
                </c:pt>
                <c:pt idx="2">
                  <c:v>63</c:v>
                </c:pt>
                <c:pt idx="3">
                  <c:v>144</c:v>
                </c:pt>
              </c:numCache>
            </c:numRef>
          </c:val>
        </c:ser>
        <c:gapWidth val="100"/>
        <c:overlap val="0"/>
        <c:axId val="75825592"/>
        <c:axId val="68291026"/>
      </c:barChart>
      <c:catAx>
        <c:axId val="75825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291026"/>
        <c:crosses val="autoZero"/>
        <c:auto val="1"/>
        <c:lblAlgn val="ctr"/>
        <c:lblOffset val="100"/>
        <c:noMultiLvlLbl val="0"/>
      </c:catAx>
      <c:valAx>
        <c:axId val="68291026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8255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Net sales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Report!$B$11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Report!$A$12:$A$14</c:f>
              <c:strCache>
                <c:ptCount val="3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</c:strCache>
            </c:strRef>
          </c:cat>
          <c:val>
            <c:numRef>
              <c:f>Report!$B$12:$B$14</c:f>
              <c:numCache>
                <c:formatCode>[$-409]#,##0</c:formatCode>
                <c:ptCount val="3"/>
                <c:pt idx="0">
                  <c:v>102824550</c:v>
                </c:pt>
                <c:pt idx="1">
                  <c:v>102919590</c:v>
                </c:pt>
                <c:pt idx="2">
                  <c:v>123901830</c:v>
                </c:pt>
              </c:numCache>
            </c:numRef>
          </c:val>
        </c:ser>
        <c:gapWidth val="100"/>
        <c:overlap val="0"/>
        <c:axId val="66704419"/>
        <c:axId val="39342873"/>
      </c:barChart>
      <c:catAx>
        <c:axId val="667044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342873"/>
        <c:crosses val="autoZero"/>
        <c:auto val="1"/>
        <c:lblAlgn val="ctr"/>
        <c:lblOffset val="100"/>
        <c:noMultiLvlLbl val="0"/>
      </c:catAx>
      <c:valAx>
        <c:axId val="3934287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7044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Export sales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Report!$E$11</c:f>
              <c:strCache>
                <c:ptCount val="1"/>
                <c:pt idx="0">
                  <c:v>Net sales (EGP)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Report!$D$12:$D$20</c:f>
              <c:strCache>
                <c:ptCount val="9"/>
                <c:pt idx="0">
                  <c:v>Iraq</c:v>
                </c:pt>
                <c:pt idx="1">
                  <c:v>Libya</c:v>
                </c:pt>
                <c:pt idx="2">
                  <c:v>Kuwait</c:v>
                </c:pt>
                <c:pt idx="3">
                  <c:v>United Arab Emirates</c:v>
                </c:pt>
                <c:pt idx="4">
                  <c:v>Saudi Arabia</c:v>
                </c:pt>
                <c:pt idx="5">
                  <c:v>Nigeria</c:v>
                </c:pt>
                <c:pt idx="6">
                  <c:v>Morocco</c:v>
                </c:pt>
                <c:pt idx="7">
                  <c:v>Jordan</c:v>
                </c:pt>
                <c:pt idx="8">
                  <c:v>Kenya</c:v>
                </c:pt>
              </c:strCache>
            </c:strRef>
          </c:cat>
          <c:val>
            <c:numRef>
              <c:f>Report!$E$12:$E$20</c:f>
              <c:numCache>
                <c:formatCode>[$-409]#,##0</c:formatCode>
                <c:ptCount val="9"/>
                <c:pt idx="0">
                  <c:v>24724420</c:v>
                </c:pt>
                <c:pt idx="1">
                  <c:v>20762700</c:v>
                </c:pt>
                <c:pt idx="2">
                  <c:v>18962570</c:v>
                </c:pt>
                <c:pt idx="3">
                  <c:v>15361140</c:v>
                </c:pt>
                <c:pt idx="4">
                  <c:v>14910810</c:v>
                </c:pt>
                <c:pt idx="5">
                  <c:v>14493690</c:v>
                </c:pt>
                <c:pt idx="6">
                  <c:v>14194400</c:v>
                </c:pt>
                <c:pt idx="7">
                  <c:v>12948920</c:v>
                </c:pt>
                <c:pt idx="8">
                  <c:v>11969430</c:v>
                </c:pt>
              </c:numCache>
            </c:numRef>
          </c:val>
        </c:ser>
        <c:gapWidth val="100"/>
        <c:overlap val="0"/>
        <c:axId val="42793920"/>
        <c:axId val="16469210"/>
      </c:barChart>
      <c:catAx>
        <c:axId val="4279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469210"/>
        <c:crosses val="autoZero"/>
        <c:auto val="1"/>
        <c:lblAlgn val="ctr"/>
        <c:lblOffset val="100"/>
        <c:noMultiLvlLbl val="0"/>
      </c:catAx>
      <c:valAx>
        <c:axId val="1646921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7939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Freight per set by channel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Report!$M$3</c:f>
              <c:strCache>
                <c:ptCount val="1"/>
                <c:pt idx="0">
                  <c:v>Freight per set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Report!$J$4:$J$7</c:f>
              <c:strCache>
                <c:ptCount val="4"/>
                <c:pt idx="0">
                  <c:v>Cairo</c:v>
                </c:pt>
                <c:pt idx="1">
                  <c:v>Alexandria</c:v>
                </c:pt>
                <c:pt idx="2">
                  <c:v>Delta</c:v>
                </c:pt>
                <c:pt idx="3">
                  <c:v>Export</c:v>
                </c:pt>
              </c:strCache>
            </c:strRef>
          </c:cat>
          <c:val>
            <c:numRef>
              <c:f>Report!$M$4:$M$7</c:f>
              <c:numCache>
                <c:formatCode>[$-409]#,##0.0</c:formatCode>
                <c:ptCount val="4"/>
                <c:pt idx="0">
                  <c:v>19.3135935397039</c:v>
                </c:pt>
                <c:pt idx="1">
                  <c:v>29.0444258172674</c:v>
                </c:pt>
                <c:pt idx="2">
                  <c:v>24.1199478487614</c:v>
                </c:pt>
                <c:pt idx="3">
                  <c:v>125.340006528125</c:v>
                </c:pt>
              </c:numCache>
            </c:numRef>
          </c:val>
        </c:ser>
        <c:gapWidth val="100"/>
        <c:overlap val="0"/>
        <c:axId val="86264801"/>
        <c:axId val="16515245"/>
      </c:barChart>
      <c:catAx>
        <c:axId val="862648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515245"/>
        <c:crosses val="autoZero"/>
        <c:auto val="1"/>
        <c:lblAlgn val="ctr"/>
        <c:lblOffset val="100"/>
        <c:noMultiLvlLbl val="0"/>
      </c:catAx>
      <c:valAx>
        <c:axId val="16515245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2648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3</xdr:row>
      <xdr:rowOff>186840</xdr:rowOff>
    </xdr:from>
    <xdr:to>
      <xdr:col>4</xdr:col>
      <xdr:colOff>935640</xdr:colOff>
      <xdr:row>19</xdr:row>
      <xdr:rowOff>90000</xdr:rowOff>
    </xdr:to>
    <xdr:graphicFrame>
      <xdr:nvGraphicFramePr>
        <xdr:cNvPr id="0" name=""/>
        <xdr:cNvGraphicFramePr/>
      </xdr:nvGraphicFramePr>
      <xdr:xfrm>
        <a:off x="108000" y="792000"/>
        <a:ext cx="41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1080000</xdr:colOff>
      <xdr:row>3</xdr:row>
      <xdr:rowOff>186840</xdr:rowOff>
    </xdr:from>
    <xdr:to>
      <xdr:col>9</xdr:col>
      <xdr:colOff>497520</xdr:colOff>
      <xdr:row>19</xdr:row>
      <xdr:rowOff>90000</xdr:rowOff>
    </xdr:to>
    <xdr:graphicFrame>
      <xdr:nvGraphicFramePr>
        <xdr:cNvPr id="1" name=""/>
        <xdr:cNvGraphicFramePr/>
      </xdr:nvGraphicFramePr>
      <xdr:xfrm>
        <a:off x="4392000" y="792000"/>
        <a:ext cx="41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108000</xdr:colOff>
      <xdr:row>20</xdr:row>
      <xdr:rowOff>71640</xdr:rowOff>
    </xdr:from>
    <xdr:to>
      <xdr:col>4</xdr:col>
      <xdr:colOff>935640</xdr:colOff>
      <xdr:row>38</xdr:row>
      <xdr:rowOff>25200</xdr:rowOff>
    </xdr:to>
    <xdr:graphicFrame>
      <xdr:nvGraphicFramePr>
        <xdr:cNvPr id="2" name=""/>
        <xdr:cNvGraphicFramePr/>
      </xdr:nvGraphicFramePr>
      <xdr:xfrm>
        <a:off x="108000" y="3528000"/>
        <a:ext cx="41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1080000</xdr:colOff>
      <xdr:row>20</xdr:row>
      <xdr:rowOff>71640</xdr:rowOff>
    </xdr:from>
    <xdr:to>
      <xdr:col>9</xdr:col>
      <xdr:colOff>497520</xdr:colOff>
      <xdr:row>38</xdr:row>
      <xdr:rowOff>25200</xdr:rowOff>
    </xdr:to>
    <xdr:graphicFrame>
      <xdr:nvGraphicFramePr>
        <xdr:cNvPr id="3" name=""/>
        <xdr:cNvGraphicFramePr/>
      </xdr:nvGraphicFramePr>
      <xdr:xfrm>
        <a:off x="4392000" y="3528000"/>
        <a:ext cx="41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9" createdVersion="3">
  <cacheSource type="worksheet">
    <worksheetSource ref="A1:I310" sheet="Sales"/>
  </cacheSource>
  <cacheFields count="9">
    <cacheField name="Month" numFmtId="0">
      <sharedItems count="3">
        <s v="2026-07"/>
        <s v="2026-08"/>
        <s v="2026-09"/>
      </sharedItems>
    </cacheField>
    <cacheField name="Channel" numFmtId="0">
      <sharedItems count="4">
        <s v="Alexandria"/>
        <s v="Cairo"/>
        <s v="Delta"/>
        <s v="Export"/>
      </sharedItems>
    </cacheField>
    <cacheField name="CountryCode" numFmtId="0">
      <sharedItems count="10">
        <s v="AE"/>
        <s v="EG"/>
        <s v="IQ"/>
        <s v="JO"/>
        <s v="KE"/>
        <s v="KW"/>
        <s v="LY"/>
        <s v="MA"/>
        <s v="NG"/>
        <s v="SA"/>
      </sharedItems>
    </cacheField>
    <cacheField name="CountryName" numFmtId="0">
      <sharedItems count="10">
        <s v="Egypt"/>
        <s v="Iraq"/>
        <s v="Jordan"/>
        <s v="Kenya"/>
        <s v="Kuwait"/>
        <s v="Libya"/>
        <s v="Morocco"/>
        <s v="Nigeria"/>
        <s v="Saudi Arabia"/>
        <s v="United Arab Emirates"/>
      </sharedItems>
    </cacheField>
    <cacheField name="ModelCode" numFmtId="0">
      <sharedItems count="12">
        <s v="M101"/>
        <s v="M102"/>
        <s v="M103"/>
        <s v="M104"/>
        <s v="M105"/>
        <s v="M106"/>
        <s v="M107"/>
        <s v="M108"/>
        <s v="M109"/>
        <s v="M110"/>
        <s v="M111"/>
        <s v="M112"/>
      </sharedItems>
    </cacheField>
    <cacheField name="ModelName" numFmtId="0">
      <sharedItems count="12">
        <s v="24-inch HD TV"/>
        <s v="32-inch HD TV"/>
        <s v="32-inch Smart TV"/>
        <s v="40-inch Full HD TV"/>
        <s v="43-inch Full HD TV"/>
        <s v="43-inch Smart TV"/>
        <s v="50-inch 4K TV"/>
        <s v="55-inch 4K TV"/>
        <s v="55-inch QLED TV"/>
        <s v="65-inch 4K TV"/>
        <s v="65-inch QLED TV"/>
        <s v="75-inch 4K TV"/>
      </sharedItems>
    </cacheField>
    <cacheField name="Qty" numFmtId="0">
      <sharedItems containsSemiMixedTypes="0" containsString="0" containsNumber="1" containsInteger="1" minValue="5" maxValue="409" count="133">
        <n v="5"/>
        <n v="6"/>
        <n v="7"/>
        <n v="8"/>
        <n v="9"/>
        <n v="12"/>
        <n v="13"/>
        <n v="14"/>
        <n v="15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5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3"/>
        <n v="54"/>
        <n v="55"/>
        <n v="56"/>
        <n v="57"/>
        <n v="58"/>
        <n v="62"/>
        <n v="63"/>
        <n v="64"/>
        <n v="65"/>
        <n v="66"/>
        <n v="67"/>
        <n v="68"/>
        <n v="71"/>
        <n v="72"/>
        <n v="73"/>
        <n v="74"/>
        <n v="75"/>
        <n v="76"/>
        <n v="77"/>
        <n v="78"/>
        <n v="79"/>
        <n v="80"/>
        <n v="82"/>
        <n v="83"/>
        <n v="84"/>
        <n v="85"/>
        <n v="86"/>
        <n v="87"/>
        <n v="88"/>
        <n v="89"/>
        <n v="90"/>
        <n v="92"/>
        <n v="93"/>
        <n v="94"/>
        <n v="96"/>
        <n v="97"/>
        <n v="98"/>
        <n v="99"/>
        <n v="100"/>
        <n v="101"/>
        <n v="103"/>
        <n v="104"/>
        <n v="105"/>
        <n v="106"/>
        <n v="107"/>
        <n v="109"/>
        <n v="110"/>
        <n v="112"/>
        <n v="113"/>
        <n v="114"/>
        <n v="116"/>
        <n v="118"/>
        <n v="119"/>
        <n v="120"/>
        <n v="121"/>
        <n v="122"/>
        <n v="123"/>
        <n v="124"/>
        <n v="125"/>
        <n v="126"/>
        <n v="129"/>
        <n v="130"/>
        <n v="131"/>
        <n v="132"/>
        <n v="133"/>
        <n v="134"/>
        <n v="135"/>
        <n v="136"/>
        <n v="137"/>
        <n v="139"/>
        <n v="144"/>
        <n v="145"/>
        <n v="155"/>
        <n v="167"/>
        <n v="169"/>
        <n v="176"/>
        <n v="177"/>
        <n v="179"/>
        <n v="183"/>
        <n v="187"/>
        <n v="188"/>
        <n v="200"/>
        <n v="204"/>
        <n v="205"/>
        <n v="216"/>
        <n v="241"/>
        <n v="256"/>
        <n v="292"/>
        <n v="302"/>
        <n v="363"/>
        <n v="387"/>
        <n v="409"/>
      </sharedItems>
    </cacheField>
    <cacheField name="NetSales" numFmtId="0">
      <sharedItems containsSemiMixedTypes="0" containsString="0" containsNumber="1" containsInteger="1" minValue="33880" maxValue="4873580" count="239">
        <n v="33880"/>
        <n v="38720"/>
        <n v="48350"/>
        <n v="58020"/>
        <n v="67760"/>
        <n v="72000"/>
        <n v="72600"/>
        <n v="75600"/>
        <n v="77360"/>
        <n v="87030"/>
        <n v="91960"/>
        <n v="100100"/>
        <n v="104400"/>
        <n v="107200"/>
        <n v="109200"/>
        <n v="127400"/>
        <n v="131820"/>
        <n v="141960"/>
        <n v="165620"/>
        <n v="171850"/>
        <n v="174060"/>
        <n v="180750"/>
        <n v="183730"/>
        <n v="196400"/>
        <n v="198250"/>
        <n v="203280"/>
        <n v="208120"/>
        <n v="209560"/>
        <n v="216320"/>
        <n v="220950"/>
        <n v="225120"/>
        <n v="251420"/>
        <n v="257280"/>
        <n v="266860"/>
        <n v="270400"/>
        <n v="270760"/>
        <n v="270900"/>
        <n v="283800"/>
        <n v="284400"/>
        <n v="294800"/>
        <n v="296700"/>
        <n v="297850"/>
        <n v="298800"/>
        <n v="302400"/>
        <n v="303660"/>
        <n v="304850"/>
        <n v="309400"/>
        <n v="309600"/>
        <n v="310880"/>
        <n v="328780"/>
        <n v="330050"/>
        <n v="338450"/>
        <n v="348120"/>
        <n v="361660"/>
        <n v="370500"/>
        <n v="376200"/>
        <n v="381780"/>
        <n v="381940"/>
        <n v="402500"/>
        <n v="419440"/>
        <n v="427230"/>
        <n v="428000"/>
        <n v="455600"/>
        <n v="456000"/>
        <n v="462240"/>
        <n v="464280"/>
        <n v="477300"/>
        <n v="477750"/>
        <n v="482400"/>
        <n v="485200"/>
        <n v="486000"/>
        <n v="493200"/>
        <n v="499950"/>
        <n v="507760"/>
        <n v="509460"/>
        <n v="514150"/>
        <n v="536000"/>
        <n v="541660"/>
        <n v="546840"/>
        <n v="557980"/>
        <n v="558600"/>
        <n v="561370"/>
        <n v="584440"/>
        <n v="590850"/>
        <n v="594370"/>
        <n v="603750"/>
        <n v="607760"/>
        <n v="609700"/>
        <n v="624880"/>
        <n v="629010"/>
        <n v="632450"/>
        <n v="633440"/>
        <n v="636240"/>
        <n v="648560"/>
        <n v="660100"/>
        <n v="663570"/>
        <n v="684250"/>
        <n v="684800"/>
        <n v="694080"/>
        <n v="702660"/>
        <n v="707520"/>
        <n v="711950"/>
        <n v="716750"/>
        <n v="724500"/>
        <n v="736500"/>
        <n v="748650"/>
        <n v="788070"/>
        <n v="789880"/>
        <n v="792070"/>
        <n v="796950"/>
        <n v="799760"/>
        <n v="820800"/>
        <n v="824220"/>
        <n v="836280"/>
        <n v="838210"/>
        <n v="838500"/>
        <n v="845900"/>
        <n v="851400"/>
        <n v="861280"/>
        <n v="866360"/>
        <n v="868970"/>
        <n v="883500"/>
        <n v="885360"/>
        <n v="903420"/>
        <n v="905080"/>
        <n v="909920"/>
        <n v="910980"/>
        <n v="932900"/>
        <n v="945500"/>
        <n v="945620"/>
        <n v="946140"/>
        <n v="957450"/>
        <n v="960750"/>
        <n v="961590"/>
        <n v="970400"/>
        <n v="975120"/>
        <n v="981720"/>
        <n v="981990"/>
        <n v="1006200"/>
        <n v="1019100"/>
        <n v="1021750"/>
        <n v="1043180"/>
        <n v="1045440"/>
        <n v="1054440"/>
        <n v="1057800"/>
        <n v="1070700"/>
        <n v="1083320"/>
        <n v="1087200"/>
        <n v="1092710"/>
        <n v="1098000"/>
        <n v="1102380"/>
        <n v="1113250"/>
        <n v="1113840"/>
        <n v="1122010"/>
        <n v="1132860"/>
        <n v="1200870"/>
        <n v="1223240"/>
        <n v="1232640"/>
        <n v="1239040"/>
        <n v="1241200"/>
        <n v="1276440"/>
        <n v="1285200"/>
        <n v="1305450"/>
        <n v="1306340"/>
        <n v="1315120"/>
        <n v="1350250"/>
        <n v="1353440"/>
        <n v="1361130"/>
        <n v="1374800"/>
        <n v="1376510"/>
        <n v="1393200"/>
        <n v="1407080"/>
        <n v="1477020"/>
        <n v="1538000"/>
        <n v="1569440"/>
        <n v="1570800"/>
        <n v="1600280"/>
        <n v="1605220"/>
        <n v="1624560"/>
        <n v="1663670"/>
        <n v="1664400"/>
        <n v="1672560"/>
        <n v="1673020"/>
        <n v="1701280"/>
        <n v="1720800"/>
        <n v="1778160"/>
        <n v="1792150"/>
        <n v="1792500"/>
        <n v="1816700"/>
        <n v="1818000"/>
        <n v="1846400"/>
        <n v="1875750"/>
        <n v="1884960"/>
        <n v="1891000"/>
        <n v="1913520"/>
        <n v="1915640"/>
        <n v="1953340"/>
        <n v="1972680"/>
        <n v="1982350"/>
        <n v="1993260"/>
        <n v="2031040"/>
        <n v="2050570"/>
        <n v="2054340"/>
        <n v="2073090"/>
        <n v="2077200"/>
        <n v="2089260"/>
        <n v="2108880"/>
        <n v="2154300"/>
        <n v="2169520"/>
        <n v="2199120"/>
        <n v="2331300"/>
        <n v="2363400"/>
        <n v="2400020"/>
        <n v="2417940"/>
        <n v="2703820"/>
        <n v="2784960"/>
        <n v="2790750"/>
        <n v="2824370"/>
        <n v="2836860"/>
        <n v="2995100"/>
        <n v="3023480"/>
        <n v="3107280"/>
        <n v="3208120"/>
        <n v="3268460"/>
        <n v="3312960"/>
        <n v="3370080"/>
        <n v="3484320"/>
        <n v="3527890"/>
        <n v="3541440"/>
        <n v="3564260"/>
        <n v="3675250"/>
        <n v="3675980"/>
        <n v="3684240"/>
        <n v="3746110"/>
        <n v="3855600"/>
        <n v="4101140"/>
        <n v="4328030"/>
        <n v="4546250"/>
        <n v="4873580"/>
      </sharedItems>
    </cacheField>
    <cacheField name="SourceFile" numFmtId="0">
      <sharedItems count="6">
        <s v="Export_Sales_2026-07.pdf"/>
        <s v="Export_Sales_2026-08.pdf"/>
        <s v="Export_Sales_2026-09.pdf"/>
        <s v="Sales_Alexandria_Q3.xlsx"/>
        <s v="Sales_Cairo_Q3.xlsx"/>
        <s v="Sales_Delta_Q3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9">
  <r>
    <x v="0"/>
    <x v="1"/>
    <x v="1"/>
    <x v="0"/>
    <x v="2"/>
    <x v="2"/>
    <x v="128"/>
    <x v="180"/>
    <x v="4"/>
  </r>
  <r>
    <x v="0"/>
    <x v="1"/>
    <x v="1"/>
    <x v="0"/>
    <x v="3"/>
    <x v="3"/>
    <x v="122"/>
    <x v="173"/>
    <x v="4"/>
  </r>
  <r>
    <x v="0"/>
    <x v="1"/>
    <x v="1"/>
    <x v="0"/>
    <x v="9"/>
    <x v="9"/>
    <x v="22"/>
    <x v="104"/>
    <x v="4"/>
  </r>
  <r>
    <x v="0"/>
    <x v="1"/>
    <x v="1"/>
    <x v="0"/>
    <x v="9"/>
    <x v="9"/>
    <x v="21"/>
    <x v="101"/>
    <x v="4"/>
  </r>
  <r>
    <x v="0"/>
    <x v="1"/>
    <x v="1"/>
    <x v="0"/>
    <x v="5"/>
    <x v="5"/>
    <x v="10"/>
    <x v="20"/>
    <x v="4"/>
  </r>
  <r>
    <x v="0"/>
    <x v="1"/>
    <x v="1"/>
    <x v="0"/>
    <x v="1"/>
    <x v="1"/>
    <x v="11"/>
    <x v="10"/>
    <x v="4"/>
  </r>
  <r>
    <x v="0"/>
    <x v="1"/>
    <x v="1"/>
    <x v="0"/>
    <x v="4"/>
    <x v="4"/>
    <x v="111"/>
    <x v="157"/>
    <x v="4"/>
  </r>
  <r>
    <x v="0"/>
    <x v="1"/>
    <x v="1"/>
    <x v="0"/>
    <x v="1"/>
    <x v="1"/>
    <x v="11"/>
    <x v="10"/>
    <x v="4"/>
  </r>
  <r>
    <x v="0"/>
    <x v="1"/>
    <x v="1"/>
    <x v="0"/>
    <x v="9"/>
    <x v="9"/>
    <x v="21"/>
    <x v="101"/>
    <x v="4"/>
  </r>
  <r>
    <x v="0"/>
    <x v="1"/>
    <x v="1"/>
    <x v="0"/>
    <x v="7"/>
    <x v="7"/>
    <x v="6"/>
    <x v="24"/>
    <x v="4"/>
  </r>
  <r>
    <x v="0"/>
    <x v="1"/>
    <x v="1"/>
    <x v="0"/>
    <x v="7"/>
    <x v="7"/>
    <x v="6"/>
    <x v="24"/>
    <x v="4"/>
  </r>
  <r>
    <x v="0"/>
    <x v="1"/>
    <x v="1"/>
    <x v="0"/>
    <x v="4"/>
    <x v="4"/>
    <x v="111"/>
    <x v="157"/>
    <x v="4"/>
  </r>
  <r>
    <x v="0"/>
    <x v="1"/>
    <x v="1"/>
    <x v="0"/>
    <x v="10"/>
    <x v="10"/>
    <x v="32"/>
    <x v="163"/>
    <x v="4"/>
  </r>
  <r>
    <x v="0"/>
    <x v="1"/>
    <x v="1"/>
    <x v="0"/>
    <x v="6"/>
    <x v="6"/>
    <x v="114"/>
    <x v="207"/>
    <x v="4"/>
  </r>
  <r>
    <x v="0"/>
    <x v="1"/>
    <x v="1"/>
    <x v="0"/>
    <x v="11"/>
    <x v="11"/>
    <x v="40"/>
    <x v="201"/>
    <x v="4"/>
  </r>
  <r>
    <x v="0"/>
    <x v="1"/>
    <x v="1"/>
    <x v="0"/>
    <x v="10"/>
    <x v="10"/>
    <x v="32"/>
    <x v="163"/>
    <x v="4"/>
  </r>
  <r>
    <x v="0"/>
    <x v="1"/>
    <x v="1"/>
    <x v="0"/>
    <x v="1"/>
    <x v="1"/>
    <x v="11"/>
    <x v="10"/>
    <x v="4"/>
  </r>
  <r>
    <x v="0"/>
    <x v="1"/>
    <x v="1"/>
    <x v="0"/>
    <x v="4"/>
    <x v="4"/>
    <x v="111"/>
    <x v="157"/>
    <x v="4"/>
  </r>
  <r>
    <x v="0"/>
    <x v="1"/>
    <x v="1"/>
    <x v="0"/>
    <x v="10"/>
    <x v="10"/>
    <x v="32"/>
    <x v="163"/>
    <x v="4"/>
  </r>
  <r>
    <x v="0"/>
    <x v="1"/>
    <x v="1"/>
    <x v="0"/>
    <x v="5"/>
    <x v="5"/>
    <x v="11"/>
    <x v="22"/>
    <x v="4"/>
  </r>
  <r>
    <x v="0"/>
    <x v="1"/>
    <x v="1"/>
    <x v="0"/>
    <x v="5"/>
    <x v="5"/>
    <x v="11"/>
    <x v="22"/>
    <x v="4"/>
  </r>
  <r>
    <x v="0"/>
    <x v="1"/>
    <x v="1"/>
    <x v="0"/>
    <x v="11"/>
    <x v="11"/>
    <x v="41"/>
    <x v="205"/>
    <x v="4"/>
  </r>
  <r>
    <x v="0"/>
    <x v="1"/>
    <x v="1"/>
    <x v="0"/>
    <x v="11"/>
    <x v="11"/>
    <x v="41"/>
    <x v="205"/>
    <x v="4"/>
  </r>
  <r>
    <x v="0"/>
    <x v="1"/>
    <x v="1"/>
    <x v="0"/>
    <x v="0"/>
    <x v="0"/>
    <x v="109"/>
    <x v="71"/>
    <x v="4"/>
  </r>
  <r>
    <x v="1"/>
    <x v="1"/>
    <x v="1"/>
    <x v="0"/>
    <x v="8"/>
    <x v="8"/>
    <x v="65"/>
    <x v="178"/>
    <x v="4"/>
  </r>
  <r>
    <x v="1"/>
    <x v="1"/>
    <x v="1"/>
    <x v="0"/>
    <x v="6"/>
    <x v="6"/>
    <x v="15"/>
    <x v="40"/>
    <x v="4"/>
  </r>
  <r>
    <x v="1"/>
    <x v="1"/>
    <x v="1"/>
    <x v="0"/>
    <x v="1"/>
    <x v="1"/>
    <x v="127"/>
    <x v="158"/>
    <x v="4"/>
  </r>
  <r>
    <x v="1"/>
    <x v="1"/>
    <x v="1"/>
    <x v="0"/>
    <x v="9"/>
    <x v="9"/>
    <x v="55"/>
    <x v="186"/>
    <x v="4"/>
  </r>
  <r>
    <x v="1"/>
    <x v="1"/>
    <x v="1"/>
    <x v="0"/>
    <x v="3"/>
    <x v="3"/>
    <x v="82"/>
    <x v="110"/>
    <x v="4"/>
  </r>
  <r>
    <x v="1"/>
    <x v="1"/>
    <x v="1"/>
    <x v="0"/>
    <x v="6"/>
    <x v="6"/>
    <x v="16"/>
    <x v="47"/>
    <x v="4"/>
  </r>
  <r>
    <x v="1"/>
    <x v="1"/>
    <x v="1"/>
    <x v="0"/>
    <x v="4"/>
    <x v="4"/>
    <x v="112"/>
    <x v="159"/>
    <x v="4"/>
  </r>
  <r>
    <x v="1"/>
    <x v="1"/>
    <x v="1"/>
    <x v="0"/>
    <x v="3"/>
    <x v="3"/>
    <x v="82"/>
    <x v="110"/>
    <x v="4"/>
  </r>
  <r>
    <x v="1"/>
    <x v="1"/>
    <x v="1"/>
    <x v="0"/>
    <x v="4"/>
    <x v="4"/>
    <x v="111"/>
    <x v="157"/>
    <x v="4"/>
  </r>
  <r>
    <x v="1"/>
    <x v="1"/>
    <x v="1"/>
    <x v="0"/>
    <x v="6"/>
    <x v="6"/>
    <x v="15"/>
    <x v="40"/>
    <x v="4"/>
  </r>
  <r>
    <x v="1"/>
    <x v="1"/>
    <x v="1"/>
    <x v="0"/>
    <x v="2"/>
    <x v="2"/>
    <x v="77"/>
    <x v="80"/>
    <x v="4"/>
  </r>
  <r>
    <x v="1"/>
    <x v="1"/>
    <x v="1"/>
    <x v="0"/>
    <x v="7"/>
    <x v="7"/>
    <x v="51"/>
    <x v="140"/>
    <x v="4"/>
  </r>
  <r>
    <x v="1"/>
    <x v="1"/>
    <x v="1"/>
    <x v="0"/>
    <x v="0"/>
    <x v="0"/>
    <x v="65"/>
    <x v="43"/>
    <x v="4"/>
  </r>
  <r>
    <x v="1"/>
    <x v="1"/>
    <x v="1"/>
    <x v="0"/>
    <x v="3"/>
    <x v="3"/>
    <x v="81"/>
    <x v="108"/>
    <x v="4"/>
  </r>
  <r>
    <x v="1"/>
    <x v="1"/>
    <x v="1"/>
    <x v="0"/>
    <x v="7"/>
    <x v="7"/>
    <x v="51"/>
    <x v="140"/>
    <x v="4"/>
  </r>
  <r>
    <x v="1"/>
    <x v="1"/>
    <x v="1"/>
    <x v="0"/>
    <x v="4"/>
    <x v="4"/>
    <x v="112"/>
    <x v="159"/>
    <x v="4"/>
  </r>
  <r>
    <x v="1"/>
    <x v="1"/>
    <x v="1"/>
    <x v="0"/>
    <x v="2"/>
    <x v="2"/>
    <x v="77"/>
    <x v="80"/>
    <x v="4"/>
  </r>
  <r>
    <x v="1"/>
    <x v="1"/>
    <x v="1"/>
    <x v="0"/>
    <x v="9"/>
    <x v="9"/>
    <x v="56"/>
    <x v="188"/>
    <x v="4"/>
  </r>
  <r>
    <x v="1"/>
    <x v="1"/>
    <x v="1"/>
    <x v="0"/>
    <x v="7"/>
    <x v="7"/>
    <x v="51"/>
    <x v="140"/>
    <x v="4"/>
  </r>
  <r>
    <x v="1"/>
    <x v="1"/>
    <x v="1"/>
    <x v="0"/>
    <x v="2"/>
    <x v="2"/>
    <x v="77"/>
    <x v="80"/>
    <x v="4"/>
  </r>
  <r>
    <x v="1"/>
    <x v="1"/>
    <x v="1"/>
    <x v="0"/>
    <x v="8"/>
    <x v="8"/>
    <x v="65"/>
    <x v="178"/>
    <x v="4"/>
  </r>
  <r>
    <x v="1"/>
    <x v="1"/>
    <x v="1"/>
    <x v="0"/>
    <x v="10"/>
    <x v="10"/>
    <x v="95"/>
    <x v="231"/>
    <x v="4"/>
  </r>
  <r>
    <x v="1"/>
    <x v="1"/>
    <x v="1"/>
    <x v="0"/>
    <x v="11"/>
    <x v="11"/>
    <x v="55"/>
    <x v="217"/>
    <x v="4"/>
  </r>
  <r>
    <x v="2"/>
    <x v="1"/>
    <x v="1"/>
    <x v="0"/>
    <x v="0"/>
    <x v="0"/>
    <x v="12"/>
    <x v="5"/>
    <x v="4"/>
  </r>
  <r>
    <x v="2"/>
    <x v="1"/>
    <x v="1"/>
    <x v="0"/>
    <x v="6"/>
    <x v="6"/>
    <x v="64"/>
    <x v="145"/>
    <x v="4"/>
  </r>
  <r>
    <x v="2"/>
    <x v="1"/>
    <x v="1"/>
    <x v="0"/>
    <x v="10"/>
    <x v="10"/>
    <x v="70"/>
    <x v="214"/>
    <x v="4"/>
  </r>
  <r>
    <x v="2"/>
    <x v="1"/>
    <x v="1"/>
    <x v="0"/>
    <x v="1"/>
    <x v="1"/>
    <x v="118"/>
    <x v="119"/>
    <x v="4"/>
  </r>
  <r>
    <x v="2"/>
    <x v="1"/>
    <x v="1"/>
    <x v="0"/>
    <x v="6"/>
    <x v="6"/>
    <x v="63"/>
    <x v="144"/>
    <x v="4"/>
  </r>
  <r>
    <x v="2"/>
    <x v="1"/>
    <x v="1"/>
    <x v="0"/>
    <x v="3"/>
    <x v="3"/>
    <x v="58"/>
    <x v="82"/>
    <x v="4"/>
  </r>
  <r>
    <x v="2"/>
    <x v="1"/>
    <x v="1"/>
    <x v="0"/>
    <x v="6"/>
    <x v="6"/>
    <x v="63"/>
    <x v="144"/>
    <x v="4"/>
  </r>
  <r>
    <x v="2"/>
    <x v="1"/>
    <x v="1"/>
    <x v="0"/>
    <x v="5"/>
    <x v="5"/>
    <x v="123"/>
    <x v="197"/>
    <x v="4"/>
  </r>
  <r>
    <x v="2"/>
    <x v="1"/>
    <x v="1"/>
    <x v="0"/>
    <x v="3"/>
    <x v="3"/>
    <x v="58"/>
    <x v="82"/>
    <x v="4"/>
  </r>
  <r>
    <x v="2"/>
    <x v="1"/>
    <x v="1"/>
    <x v="0"/>
    <x v="3"/>
    <x v="3"/>
    <x v="58"/>
    <x v="82"/>
    <x v="4"/>
  </r>
  <r>
    <x v="2"/>
    <x v="1"/>
    <x v="1"/>
    <x v="0"/>
    <x v="7"/>
    <x v="7"/>
    <x v="98"/>
    <x v="193"/>
    <x v="4"/>
  </r>
  <r>
    <x v="2"/>
    <x v="1"/>
    <x v="1"/>
    <x v="0"/>
    <x v="9"/>
    <x v="9"/>
    <x v="2"/>
    <x v="19"/>
    <x v="4"/>
  </r>
  <r>
    <x v="2"/>
    <x v="1"/>
    <x v="1"/>
    <x v="0"/>
    <x v="9"/>
    <x v="9"/>
    <x v="2"/>
    <x v="19"/>
    <x v="4"/>
  </r>
  <r>
    <x v="2"/>
    <x v="1"/>
    <x v="1"/>
    <x v="0"/>
    <x v="8"/>
    <x v="8"/>
    <x v="9"/>
    <x v="49"/>
    <x v="4"/>
  </r>
  <r>
    <x v="2"/>
    <x v="1"/>
    <x v="1"/>
    <x v="0"/>
    <x v="7"/>
    <x v="7"/>
    <x v="97"/>
    <x v="191"/>
    <x v="4"/>
  </r>
  <r>
    <x v="2"/>
    <x v="1"/>
    <x v="1"/>
    <x v="0"/>
    <x v="1"/>
    <x v="1"/>
    <x v="118"/>
    <x v="119"/>
    <x v="4"/>
  </r>
  <r>
    <x v="2"/>
    <x v="1"/>
    <x v="1"/>
    <x v="0"/>
    <x v="5"/>
    <x v="5"/>
    <x v="124"/>
    <x v="198"/>
    <x v="4"/>
  </r>
  <r>
    <x v="2"/>
    <x v="1"/>
    <x v="1"/>
    <x v="0"/>
    <x v="0"/>
    <x v="0"/>
    <x v="12"/>
    <x v="5"/>
    <x v="4"/>
  </r>
  <r>
    <x v="2"/>
    <x v="1"/>
    <x v="1"/>
    <x v="0"/>
    <x v="5"/>
    <x v="5"/>
    <x v="123"/>
    <x v="197"/>
    <x v="4"/>
  </r>
  <r>
    <x v="2"/>
    <x v="1"/>
    <x v="1"/>
    <x v="0"/>
    <x v="0"/>
    <x v="0"/>
    <x v="13"/>
    <x v="7"/>
    <x v="4"/>
  </r>
  <r>
    <x v="2"/>
    <x v="1"/>
    <x v="1"/>
    <x v="0"/>
    <x v="8"/>
    <x v="8"/>
    <x v="9"/>
    <x v="49"/>
    <x v="4"/>
  </r>
  <r>
    <x v="2"/>
    <x v="1"/>
    <x v="1"/>
    <x v="0"/>
    <x v="8"/>
    <x v="8"/>
    <x v="10"/>
    <x v="52"/>
    <x v="4"/>
  </r>
  <r>
    <x v="2"/>
    <x v="1"/>
    <x v="1"/>
    <x v="0"/>
    <x v="9"/>
    <x v="9"/>
    <x v="3"/>
    <x v="23"/>
    <x v="4"/>
  </r>
  <r>
    <x v="2"/>
    <x v="1"/>
    <x v="1"/>
    <x v="0"/>
    <x v="7"/>
    <x v="7"/>
    <x v="97"/>
    <x v="191"/>
    <x v="4"/>
  </r>
  <r>
    <x v="0"/>
    <x v="0"/>
    <x v="1"/>
    <x v="0"/>
    <x v="0"/>
    <x v="0"/>
    <x v="21"/>
    <x v="12"/>
    <x v="3"/>
  </r>
  <r>
    <x v="0"/>
    <x v="0"/>
    <x v="1"/>
    <x v="0"/>
    <x v="7"/>
    <x v="7"/>
    <x v="36"/>
    <x v="102"/>
    <x v="3"/>
  </r>
  <r>
    <x v="0"/>
    <x v="0"/>
    <x v="1"/>
    <x v="0"/>
    <x v="2"/>
    <x v="2"/>
    <x v="113"/>
    <x v="121"/>
    <x v="3"/>
  </r>
  <r>
    <x v="0"/>
    <x v="0"/>
    <x v="1"/>
    <x v="0"/>
    <x v="6"/>
    <x v="6"/>
    <x v="49"/>
    <x v="115"/>
    <x v="3"/>
  </r>
  <r>
    <x v="0"/>
    <x v="0"/>
    <x v="1"/>
    <x v="0"/>
    <x v="1"/>
    <x v="1"/>
    <x v="32"/>
    <x v="26"/>
    <x v="3"/>
  </r>
  <r>
    <x v="0"/>
    <x v="0"/>
    <x v="1"/>
    <x v="0"/>
    <x v="4"/>
    <x v="4"/>
    <x v="56"/>
    <x v="91"/>
    <x v="3"/>
  </r>
  <r>
    <x v="0"/>
    <x v="0"/>
    <x v="1"/>
    <x v="0"/>
    <x v="7"/>
    <x v="7"/>
    <x v="36"/>
    <x v="102"/>
    <x v="3"/>
  </r>
  <r>
    <x v="0"/>
    <x v="0"/>
    <x v="1"/>
    <x v="0"/>
    <x v="11"/>
    <x v="11"/>
    <x v="84"/>
    <x v="235"/>
    <x v="3"/>
  </r>
  <r>
    <x v="0"/>
    <x v="0"/>
    <x v="1"/>
    <x v="0"/>
    <x v="1"/>
    <x v="1"/>
    <x v="31"/>
    <x v="25"/>
    <x v="3"/>
  </r>
  <r>
    <x v="0"/>
    <x v="0"/>
    <x v="1"/>
    <x v="0"/>
    <x v="3"/>
    <x v="3"/>
    <x v="87"/>
    <x v="116"/>
    <x v="3"/>
  </r>
  <r>
    <x v="0"/>
    <x v="0"/>
    <x v="1"/>
    <x v="0"/>
    <x v="3"/>
    <x v="3"/>
    <x v="86"/>
    <x v="114"/>
    <x v="3"/>
  </r>
  <r>
    <x v="0"/>
    <x v="0"/>
    <x v="1"/>
    <x v="0"/>
    <x v="6"/>
    <x v="6"/>
    <x v="50"/>
    <x v="117"/>
    <x v="3"/>
  </r>
  <r>
    <x v="0"/>
    <x v="0"/>
    <x v="1"/>
    <x v="0"/>
    <x v="4"/>
    <x v="4"/>
    <x v="55"/>
    <x v="88"/>
    <x v="3"/>
  </r>
  <r>
    <x v="0"/>
    <x v="0"/>
    <x v="1"/>
    <x v="0"/>
    <x v="1"/>
    <x v="1"/>
    <x v="32"/>
    <x v="26"/>
    <x v="3"/>
  </r>
  <r>
    <x v="0"/>
    <x v="0"/>
    <x v="1"/>
    <x v="0"/>
    <x v="10"/>
    <x v="10"/>
    <x v="10"/>
    <x v="78"/>
    <x v="3"/>
  </r>
  <r>
    <x v="0"/>
    <x v="0"/>
    <x v="1"/>
    <x v="0"/>
    <x v="3"/>
    <x v="3"/>
    <x v="87"/>
    <x v="116"/>
    <x v="3"/>
  </r>
  <r>
    <x v="0"/>
    <x v="0"/>
    <x v="1"/>
    <x v="0"/>
    <x v="5"/>
    <x v="5"/>
    <x v="24"/>
    <x v="49"/>
    <x v="3"/>
  </r>
  <r>
    <x v="0"/>
    <x v="0"/>
    <x v="1"/>
    <x v="0"/>
    <x v="0"/>
    <x v="0"/>
    <x v="21"/>
    <x v="12"/>
    <x v="3"/>
  </r>
  <r>
    <x v="0"/>
    <x v="0"/>
    <x v="1"/>
    <x v="0"/>
    <x v="5"/>
    <x v="5"/>
    <x v="25"/>
    <x v="51"/>
    <x v="3"/>
  </r>
  <r>
    <x v="0"/>
    <x v="0"/>
    <x v="1"/>
    <x v="0"/>
    <x v="7"/>
    <x v="7"/>
    <x v="36"/>
    <x v="102"/>
    <x v="3"/>
  </r>
  <r>
    <x v="0"/>
    <x v="0"/>
    <x v="1"/>
    <x v="0"/>
    <x v="8"/>
    <x v="8"/>
    <x v="115"/>
    <x v="223"/>
    <x v="3"/>
  </r>
  <r>
    <x v="1"/>
    <x v="0"/>
    <x v="1"/>
    <x v="0"/>
    <x v="4"/>
    <x v="4"/>
    <x v="53"/>
    <x v="86"/>
    <x v="3"/>
  </r>
  <r>
    <x v="1"/>
    <x v="0"/>
    <x v="1"/>
    <x v="0"/>
    <x v="5"/>
    <x v="5"/>
    <x v="3"/>
    <x v="8"/>
    <x v="3"/>
  </r>
  <r>
    <x v="1"/>
    <x v="0"/>
    <x v="1"/>
    <x v="0"/>
    <x v="4"/>
    <x v="4"/>
    <x v="53"/>
    <x v="86"/>
    <x v="3"/>
  </r>
  <r>
    <x v="1"/>
    <x v="0"/>
    <x v="1"/>
    <x v="0"/>
    <x v="11"/>
    <x v="11"/>
    <x v="7"/>
    <x v="77"/>
    <x v="3"/>
  </r>
  <r>
    <x v="1"/>
    <x v="0"/>
    <x v="1"/>
    <x v="0"/>
    <x v="11"/>
    <x v="11"/>
    <x v="7"/>
    <x v="77"/>
    <x v="3"/>
  </r>
  <r>
    <x v="1"/>
    <x v="0"/>
    <x v="1"/>
    <x v="0"/>
    <x v="1"/>
    <x v="1"/>
    <x v="120"/>
    <x v="124"/>
    <x v="3"/>
  </r>
  <r>
    <x v="1"/>
    <x v="0"/>
    <x v="1"/>
    <x v="0"/>
    <x v="4"/>
    <x v="4"/>
    <x v="53"/>
    <x v="86"/>
    <x v="3"/>
  </r>
  <r>
    <x v="1"/>
    <x v="0"/>
    <x v="1"/>
    <x v="0"/>
    <x v="8"/>
    <x v="8"/>
    <x v="80"/>
    <x v="196"/>
    <x v="3"/>
  </r>
  <r>
    <x v="1"/>
    <x v="0"/>
    <x v="1"/>
    <x v="0"/>
    <x v="10"/>
    <x v="10"/>
    <x v="18"/>
    <x v="107"/>
    <x v="3"/>
  </r>
  <r>
    <x v="1"/>
    <x v="0"/>
    <x v="1"/>
    <x v="0"/>
    <x v="1"/>
    <x v="1"/>
    <x v="121"/>
    <x v="125"/>
    <x v="3"/>
  </r>
  <r>
    <x v="1"/>
    <x v="0"/>
    <x v="1"/>
    <x v="0"/>
    <x v="0"/>
    <x v="0"/>
    <x v="131"/>
    <x v="170"/>
    <x v="3"/>
  </r>
  <r>
    <x v="1"/>
    <x v="0"/>
    <x v="1"/>
    <x v="0"/>
    <x v="2"/>
    <x v="2"/>
    <x v="111"/>
    <x v="111"/>
    <x v="3"/>
  </r>
  <r>
    <x v="1"/>
    <x v="0"/>
    <x v="1"/>
    <x v="0"/>
    <x v="11"/>
    <x v="11"/>
    <x v="7"/>
    <x v="77"/>
    <x v="3"/>
  </r>
  <r>
    <x v="1"/>
    <x v="0"/>
    <x v="1"/>
    <x v="0"/>
    <x v="5"/>
    <x v="5"/>
    <x v="4"/>
    <x v="9"/>
    <x v="3"/>
  </r>
  <r>
    <x v="1"/>
    <x v="0"/>
    <x v="1"/>
    <x v="0"/>
    <x v="8"/>
    <x v="8"/>
    <x v="80"/>
    <x v="196"/>
    <x v="3"/>
  </r>
  <r>
    <x v="2"/>
    <x v="0"/>
    <x v="1"/>
    <x v="0"/>
    <x v="9"/>
    <x v="9"/>
    <x v="27"/>
    <x v="127"/>
    <x v="3"/>
  </r>
  <r>
    <x v="2"/>
    <x v="0"/>
    <x v="1"/>
    <x v="0"/>
    <x v="0"/>
    <x v="0"/>
    <x v="107"/>
    <x v="70"/>
    <x v="3"/>
  </r>
  <r>
    <x v="2"/>
    <x v="0"/>
    <x v="1"/>
    <x v="0"/>
    <x v="0"/>
    <x v="0"/>
    <x v="107"/>
    <x v="70"/>
    <x v="3"/>
  </r>
  <r>
    <x v="2"/>
    <x v="0"/>
    <x v="1"/>
    <x v="0"/>
    <x v="5"/>
    <x v="5"/>
    <x v="104"/>
    <x v="160"/>
    <x v="3"/>
  </r>
  <r>
    <x v="2"/>
    <x v="0"/>
    <x v="1"/>
    <x v="0"/>
    <x v="9"/>
    <x v="9"/>
    <x v="28"/>
    <x v="131"/>
    <x v="3"/>
  </r>
  <r>
    <x v="2"/>
    <x v="0"/>
    <x v="1"/>
    <x v="0"/>
    <x v="4"/>
    <x v="4"/>
    <x v="41"/>
    <x v="64"/>
    <x v="3"/>
  </r>
  <r>
    <x v="2"/>
    <x v="0"/>
    <x v="1"/>
    <x v="0"/>
    <x v="2"/>
    <x v="2"/>
    <x v="49"/>
    <x v="54"/>
    <x v="3"/>
  </r>
  <r>
    <x v="2"/>
    <x v="0"/>
    <x v="1"/>
    <x v="0"/>
    <x v="3"/>
    <x v="3"/>
    <x v="89"/>
    <x v="120"/>
    <x v="3"/>
  </r>
  <r>
    <x v="2"/>
    <x v="0"/>
    <x v="1"/>
    <x v="0"/>
    <x v="3"/>
    <x v="3"/>
    <x v="89"/>
    <x v="120"/>
    <x v="3"/>
  </r>
  <r>
    <x v="2"/>
    <x v="0"/>
    <x v="1"/>
    <x v="0"/>
    <x v="5"/>
    <x v="5"/>
    <x v="104"/>
    <x v="160"/>
    <x v="3"/>
  </r>
  <r>
    <x v="2"/>
    <x v="0"/>
    <x v="1"/>
    <x v="0"/>
    <x v="6"/>
    <x v="6"/>
    <x v="26"/>
    <x v="66"/>
    <x v="3"/>
  </r>
  <r>
    <x v="2"/>
    <x v="0"/>
    <x v="1"/>
    <x v="0"/>
    <x v="1"/>
    <x v="1"/>
    <x v="7"/>
    <x v="4"/>
    <x v="3"/>
  </r>
  <r>
    <x v="2"/>
    <x v="0"/>
    <x v="1"/>
    <x v="0"/>
    <x v="2"/>
    <x v="2"/>
    <x v="49"/>
    <x v="54"/>
    <x v="3"/>
  </r>
  <r>
    <x v="2"/>
    <x v="0"/>
    <x v="1"/>
    <x v="0"/>
    <x v="2"/>
    <x v="2"/>
    <x v="50"/>
    <x v="55"/>
    <x v="3"/>
  </r>
  <r>
    <x v="2"/>
    <x v="0"/>
    <x v="1"/>
    <x v="0"/>
    <x v="1"/>
    <x v="1"/>
    <x v="8"/>
    <x v="6"/>
    <x v="3"/>
  </r>
  <r>
    <x v="2"/>
    <x v="0"/>
    <x v="1"/>
    <x v="0"/>
    <x v="3"/>
    <x v="3"/>
    <x v="88"/>
    <x v="118"/>
    <x v="3"/>
  </r>
  <r>
    <x v="2"/>
    <x v="0"/>
    <x v="1"/>
    <x v="0"/>
    <x v="1"/>
    <x v="1"/>
    <x v="7"/>
    <x v="4"/>
    <x v="3"/>
  </r>
  <r>
    <x v="2"/>
    <x v="0"/>
    <x v="1"/>
    <x v="0"/>
    <x v="8"/>
    <x v="8"/>
    <x v="111"/>
    <x v="215"/>
    <x v="3"/>
  </r>
  <r>
    <x v="2"/>
    <x v="0"/>
    <x v="1"/>
    <x v="0"/>
    <x v="11"/>
    <x v="11"/>
    <x v="32"/>
    <x v="179"/>
    <x v="3"/>
  </r>
  <r>
    <x v="2"/>
    <x v="0"/>
    <x v="1"/>
    <x v="0"/>
    <x v="7"/>
    <x v="7"/>
    <x v="54"/>
    <x v="149"/>
    <x v="3"/>
  </r>
  <r>
    <x v="2"/>
    <x v="0"/>
    <x v="1"/>
    <x v="0"/>
    <x v="4"/>
    <x v="4"/>
    <x v="41"/>
    <x v="64"/>
    <x v="3"/>
  </r>
  <r>
    <x v="2"/>
    <x v="0"/>
    <x v="1"/>
    <x v="0"/>
    <x v="0"/>
    <x v="0"/>
    <x v="106"/>
    <x v="68"/>
    <x v="3"/>
  </r>
  <r>
    <x v="2"/>
    <x v="0"/>
    <x v="1"/>
    <x v="0"/>
    <x v="7"/>
    <x v="7"/>
    <x v="55"/>
    <x v="151"/>
    <x v="3"/>
  </r>
  <r>
    <x v="2"/>
    <x v="0"/>
    <x v="1"/>
    <x v="0"/>
    <x v="6"/>
    <x v="6"/>
    <x v="26"/>
    <x v="66"/>
    <x v="3"/>
  </r>
  <r>
    <x v="2"/>
    <x v="0"/>
    <x v="1"/>
    <x v="0"/>
    <x v="10"/>
    <x v="10"/>
    <x v="61"/>
    <x v="212"/>
    <x v="3"/>
  </r>
  <r>
    <x v="0"/>
    <x v="2"/>
    <x v="1"/>
    <x v="0"/>
    <x v="0"/>
    <x v="0"/>
    <x v="64"/>
    <x v="42"/>
    <x v="5"/>
  </r>
  <r>
    <x v="0"/>
    <x v="2"/>
    <x v="1"/>
    <x v="0"/>
    <x v="8"/>
    <x v="8"/>
    <x v="64"/>
    <x v="177"/>
    <x v="5"/>
  </r>
  <r>
    <x v="0"/>
    <x v="2"/>
    <x v="1"/>
    <x v="0"/>
    <x v="5"/>
    <x v="5"/>
    <x v="108"/>
    <x v="164"/>
    <x v="5"/>
  </r>
  <r>
    <x v="0"/>
    <x v="2"/>
    <x v="1"/>
    <x v="0"/>
    <x v="1"/>
    <x v="1"/>
    <x v="121"/>
    <x v="125"/>
    <x v="5"/>
  </r>
  <r>
    <x v="0"/>
    <x v="2"/>
    <x v="1"/>
    <x v="0"/>
    <x v="10"/>
    <x v="10"/>
    <x v="43"/>
    <x v="183"/>
    <x v="5"/>
  </r>
  <r>
    <x v="0"/>
    <x v="2"/>
    <x v="1"/>
    <x v="0"/>
    <x v="0"/>
    <x v="0"/>
    <x v="64"/>
    <x v="42"/>
    <x v="5"/>
  </r>
  <r>
    <x v="0"/>
    <x v="2"/>
    <x v="1"/>
    <x v="0"/>
    <x v="4"/>
    <x v="4"/>
    <x v="130"/>
    <x v="221"/>
    <x v="5"/>
  </r>
  <r>
    <x v="0"/>
    <x v="2"/>
    <x v="1"/>
    <x v="0"/>
    <x v="9"/>
    <x v="9"/>
    <x v="42"/>
    <x v="165"/>
    <x v="5"/>
  </r>
  <r>
    <x v="0"/>
    <x v="2"/>
    <x v="1"/>
    <x v="0"/>
    <x v="3"/>
    <x v="3"/>
    <x v="55"/>
    <x v="81"/>
    <x v="5"/>
  </r>
  <r>
    <x v="0"/>
    <x v="2"/>
    <x v="1"/>
    <x v="0"/>
    <x v="11"/>
    <x v="11"/>
    <x v="5"/>
    <x v="65"/>
    <x v="5"/>
  </r>
  <r>
    <x v="0"/>
    <x v="2"/>
    <x v="1"/>
    <x v="0"/>
    <x v="1"/>
    <x v="1"/>
    <x v="121"/>
    <x v="125"/>
    <x v="5"/>
  </r>
  <r>
    <x v="0"/>
    <x v="2"/>
    <x v="1"/>
    <x v="0"/>
    <x v="7"/>
    <x v="7"/>
    <x v="126"/>
    <x v="230"/>
    <x v="5"/>
  </r>
  <r>
    <x v="0"/>
    <x v="2"/>
    <x v="1"/>
    <x v="0"/>
    <x v="5"/>
    <x v="5"/>
    <x v="107"/>
    <x v="162"/>
    <x v="5"/>
  </r>
  <r>
    <x v="0"/>
    <x v="2"/>
    <x v="1"/>
    <x v="0"/>
    <x v="9"/>
    <x v="9"/>
    <x v="43"/>
    <x v="168"/>
    <x v="5"/>
  </r>
  <r>
    <x v="0"/>
    <x v="2"/>
    <x v="1"/>
    <x v="0"/>
    <x v="10"/>
    <x v="10"/>
    <x v="43"/>
    <x v="183"/>
    <x v="5"/>
  </r>
  <r>
    <x v="0"/>
    <x v="2"/>
    <x v="1"/>
    <x v="0"/>
    <x v="2"/>
    <x v="2"/>
    <x v="62"/>
    <x v="63"/>
    <x v="5"/>
  </r>
  <r>
    <x v="0"/>
    <x v="2"/>
    <x v="1"/>
    <x v="0"/>
    <x v="11"/>
    <x v="11"/>
    <x v="5"/>
    <x v="65"/>
    <x v="5"/>
  </r>
  <r>
    <x v="1"/>
    <x v="2"/>
    <x v="1"/>
    <x v="0"/>
    <x v="11"/>
    <x v="11"/>
    <x v="21"/>
    <x v="153"/>
    <x v="5"/>
  </r>
  <r>
    <x v="1"/>
    <x v="2"/>
    <x v="1"/>
    <x v="0"/>
    <x v="1"/>
    <x v="1"/>
    <x v="2"/>
    <x v="0"/>
    <x v="5"/>
  </r>
  <r>
    <x v="1"/>
    <x v="2"/>
    <x v="1"/>
    <x v="0"/>
    <x v="1"/>
    <x v="1"/>
    <x v="2"/>
    <x v="0"/>
    <x v="5"/>
  </r>
  <r>
    <x v="1"/>
    <x v="2"/>
    <x v="1"/>
    <x v="0"/>
    <x v="6"/>
    <x v="6"/>
    <x v="61"/>
    <x v="139"/>
    <x v="5"/>
  </r>
  <r>
    <x v="1"/>
    <x v="2"/>
    <x v="1"/>
    <x v="0"/>
    <x v="3"/>
    <x v="3"/>
    <x v="116"/>
    <x v="166"/>
    <x v="5"/>
  </r>
  <r>
    <x v="1"/>
    <x v="2"/>
    <x v="1"/>
    <x v="0"/>
    <x v="6"/>
    <x v="6"/>
    <x v="60"/>
    <x v="138"/>
    <x v="5"/>
  </r>
  <r>
    <x v="1"/>
    <x v="2"/>
    <x v="1"/>
    <x v="0"/>
    <x v="7"/>
    <x v="7"/>
    <x v="119"/>
    <x v="216"/>
    <x v="5"/>
  </r>
  <r>
    <x v="1"/>
    <x v="2"/>
    <x v="1"/>
    <x v="0"/>
    <x v="8"/>
    <x v="8"/>
    <x v="6"/>
    <x v="31"/>
    <x v="5"/>
  </r>
  <r>
    <x v="1"/>
    <x v="2"/>
    <x v="1"/>
    <x v="0"/>
    <x v="8"/>
    <x v="8"/>
    <x v="7"/>
    <x v="35"/>
    <x v="5"/>
  </r>
  <r>
    <x v="1"/>
    <x v="2"/>
    <x v="1"/>
    <x v="0"/>
    <x v="11"/>
    <x v="11"/>
    <x v="20"/>
    <x v="146"/>
    <x v="5"/>
  </r>
  <r>
    <x v="1"/>
    <x v="2"/>
    <x v="1"/>
    <x v="0"/>
    <x v="9"/>
    <x v="9"/>
    <x v="3"/>
    <x v="23"/>
    <x v="5"/>
  </r>
  <r>
    <x v="1"/>
    <x v="2"/>
    <x v="1"/>
    <x v="0"/>
    <x v="2"/>
    <x v="2"/>
    <x v="132"/>
    <x v="210"/>
    <x v="5"/>
  </r>
  <r>
    <x v="1"/>
    <x v="2"/>
    <x v="1"/>
    <x v="0"/>
    <x v="5"/>
    <x v="5"/>
    <x v="1"/>
    <x v="3"/>
    <x v="5"/>
  </r>
  <r>
    <x v="1"/>
    <x v="2"/>
    <x v="1"/>
    <x v="0"/>
    <x v="3"/>
    <x v="3"/>
    <x v="117"/>
    <x v="167"/>
    <x v="5"/>
  </r>
  <r>
    <x v="1"/>
    <x v="2"/>
    <x v="1"/>
    <x v="0"/>
    <x v="1"/>
    <x v="1"/>
    <x v="3"/>
    <x v="1"/>
    <x v="5"/>
  </r>
  <r>
    <x v="1"/>
    <x v="2"/>
    <x v="1"/>
    <x v="0"/>
    <x v="0"/>
    <x v="0"/>
    <x v="129"/>
    <x v="147"/>
    <x v="5"/>
  </r>
  <r>
    <x v="1"/>
    <x v="2"/>
    <x v="1"/>
    <x v="0"/>
    <x v="4"/>
    <x v="4"/>
    <x v="62"/>
    <x v="97"/>
    <x v="5"/>
  </r>
  <r>
    <x v="1"/>
    <x v="2"/>
    <x v="1"/>
    <x v="0"/>
    <x v="5"/>
    <x v="5"/>
    <x v="0"/>
    <x v="2"/>
    <x v="5"/>
  </r>
  <r>
    <x v="1"/>
    <x v="2"/>
    <x v="1"/>
    <x v="0"/>
    <x v="9"/>
    <x v="9"/>
    <x v="4"/>
    <x v="29"/>
    <x v="5"/>
  </r>
  <r>
    <x v="1"/>
    <x v="2"/>
    <x v="1"/>
    <x v="0"/>
    <x v="11"/>
    <x v="11"/>
    <x v="20"/>
    <x v="146"/>
    <x v="5"/>
  </r>
  <r>
    <x v="2"/>
    <x v="2"/>
    <x v="1"/>
    <x v="0"/>
    <x v="7"/>
    <x v="7"/>
    <x v="47"/>
    <x v="132"/>
    <x v="5"/>
  </r>
  <r>
    <x v="2"/>
    <x v="2"/>
    <x v="1"/>
    <x v="0"/>
    <x v="1"/>
    <x v="1"/>
    <x v="125"/>
    <x v="142"/>
    <x v="5"/>
  </r>
  <r>
    <x v="2"/>
    <x v="2"/>
    <x v="1"/>
    <x v="0"/>
    <x v="5"/>
    <x v="5"/>
    <x v="89"/>
    <x v="148"/>
    <x v="5"/>
  </r>
  <r>
    <x v="2"/>
    <x v="2"/>
    <x v="1"/>
    <x v="0"/>
    <x v="5"/>
    <x v="5"/>
    <x v="90"/>
    <x v="150"/>
    <x v="5"/>
  </r>
  <r>
    <x v="2"/>
    <x v="2"/>
    <x v="1"/>
    <x v="0"/>
    <x v="5"/>
    <x v="5"/>
    <x v="90"/>
    <x v="150"/>
    <x v="5"/>
  </r>
  <r>
    <x v="2"/>
    <x v="2"/>
    <x v="1"/>
    <x v="0"/>
    <x v="3"/>
    <x v="3"/>
    <x v="118"/>
    <x v="169"/>
    <x v="5"/>
  </r>
  <r>
    <x v="2"/>
    <x v="2"/>
    <x v="1"/>
    <x v="0"/>
    <x v="7"/>
    <x v="7"/>
    <x v="47"/>
    <x v="132"/>
    <x v="5"/>
  </r>
  <r>
    <x v="2"/>
    <x v="2"/>
    <x v="1"/>
    <x v="0"/>
    <x v="11"/>
    <x v="11"/>
    <x v="21"/>
    <x v="153"/>
    <x v="5"/>
  </r>
  <r>
    <x v="2"/>
    <x v="2"/>
    <x v="1"/>
    <x v="0"/>
    <x v="3"/>
    <x v="3"/>
    <x v="118"/>
    <x v="169"/>
    <x v="5"/>
  </r>
  <r>
    <x v="2"/>
    <x v="2"/>
    <x v="1"/>
    <x v="0"/>
    <x v="9"/>
    <x v="9"/>
    <x v="96"/>
    <x v="219"/>
    <x v="5"/>
  </r>
  <r>
    <x v="2"/>
    <x v="2"/>
    <x v="1"/>
    <x v="0"/>
    <x v="10"/>
    <x v="10"/>
    <x v="10"/>
    <x v="78"/>
    <x v="5"/>
  </r>
  <r>
    <x v="2"/>
    <x v="2"/>
    <x v="1"/>
    <x v="0"/>
    <x v="11"/>
    <x v="11"/>
    <x v="21"/>
    <x v="153"/>
    <x v="5"/>
  </r>
  <r>
    <x v="2"/>
    <x v="2"/>
    <x v="1"/>
    <x v="0"/>
    <x v="10"/>
    <x v="10"/>
    <x v="10"/>
    <x v="78"/>
    <x v="5"/>
  </r>
  <r>
    <x v="2"/>
    <x v="2"/>
    <x v="1"/>
    <x v="0"/>
    <x v="8"/>
    <x v="8"/>
    <x v="9"/>
    <x v="49"/>
    <x v="5"/>
  </r>
  <r>
    <x v="2"/>
    <x v="2"/>
    <x v="1"/>
    <x v="0"/>
    <x v="4"/>
    <x v="4"/>
    <x v="39"/>
    <x v="61"/>
    <x v="5"/>
  </r>
  <r>
    <x v="2"/>
    <x v="2"/>
    <x v="1"/>
    <x v="0"/>
    <x v="0"/>
    <x v="0"/>
    <x v="61"/>
    <x v="38"/>
    <x v="5"/>
  </r>
  <r>
    <x v="2"/>
    <x v="2"/>
    <x v="1"/>
    <x v="0"/>
    <x v="6"/>
    <x v="6"/>
    <x v="13"/>
    <x v="36"/>
    <x v="5"/>
  </r>
  <r>
    <x v="2"/>
    <x v="2"/>
    <x v="1"/>
    <x v="0"/>
    <x v="0"/>
    <x v="0"/>
    <x v="61"/>
    <x v="38"/>
    <x v="5"/>
  </r>
  <r>
    <x v="2"/>
    <x v="2"/>
    <x v="1"/>
    <x v="0"/>
    <x v="0"/>
    <x v="0"/>
    <x v="61"/>
    <x v="38"/>
    <x v="5"/>
  </r>
  <r>
    <x v="2"/>
    <x v="2"/>
    <x v="1"/>
    <x v="0"/>
    <x v="8"/>
    <x v="8"/>
    <x v="10"/>
    <x v="52"/>
    <x v="5"/>
  </r>
  <r>
    <x v="2"/>
    <x v="2"/>
    <x v="1"/>
    <x v="0"/>
    <x v="4"/>
    <x v="4"/>
    <x v="38"/>
    <x v="59"/>
    <x v="5"/>
  </r>
  <r>
    <x v="2"/>
    <x v="2"/>
    <x v="1"/>
    <x v="0"/>
    <x v="6"/>
    <x v="6"/>
    <x v="14"/>
    <x v="37"/>
    <x v="5"/>
  </r>
  <r>
    <x v="2"/>
    <x v="2"/>
    <x v="1"/>
    <x v="0"/>
    <x v="8"/>
    <x v="8"/>
    <x v="10"/>
    <x v="52"/>
    <x v="5"/>
  </r>
  <r>
    <x v="2"/>
    <x v="2"/>
    <x v="1"/>
    <x v="0"/>
    <x v="4"/>
    <x v="4"/>
    <x v="39"/>
    <x v="61"/>
    <x v="5"/>
  </r>
  <r>
    <x v="2"/>
    <x v="2"/>
    <x v="1"/>
    <x v="0"/>
    <x v="6"/>
    <x v="6"/>
    <x v="14"/>
    <x v="37"/>
    <x v="5"/>
  </r>
  <r>
    <x v="2"/>
    <x v="2"/>
    <x v="1"/>
    <x v="0"/>
    <x v="7"/>
    <x v="7"/>
    <x v="46"/>
    <x v="128"/>
    <x v="5"/>
  </r>
  <r>
    <x v="0"/>
    <x v="3"/>
    <x v="0"/>
    <x v="9"/>
    <x v="5"/>
    <x v="5"/>
    <x v="36"/>
    <x v="60"/>
    <x v="0"/>
  </r>
  <r>
    <x v="0"/>
    <x v="3"/>
    <x v="2"/>
    <x v="1"/>
    <x v="3"/>
    <x v="3"/>
    <x v="69"/>
    <x v="92"/>
    <x v="0"/>
  </r>
  <r>
    <x v="0"/>
    <x v="3"/>
    <x v="2"/>
    <x v="1"/>
    <x v="5"/>
    <x v="5"/>
    <x v="55"/>
    <x v="95"/>
    <x v="0"/>
  </r>
  <r>
    <x v="0"/>
    <x v="3"/>
    <x v="3"/>
    <x v="2"/>
    <x v="3"/>
    <x v="3"/>
    <x v="31"/>
    <x v="44"/>
    <x v="0"/>
  </r>
  <r>
    <x v="0"/>
    <x v="3"/>
    <x v="3"/>
    <x v="2"/>
    <x v="4"/>
    <x v="4"/>
    <x v="63"/>
    <x v="94"/>
    <x v="0"/>
  </r>
  <r>
    <x v="0"/>
    <x v="3"/>
    <x v="3"/>
    <x v="2"/>
    <x v="6"/>
    <x v="6"/>
    <x v="14"/>
    <x v="33"/>
    <x v="0"/>
  </r>
  <r>
    <x v="0"/>
    <x v="3"/>
    <x v="3"/>
    <x v="2"/>
    <x v="10"/>
    <x v="10"/>
    <x v="42"/>
    <x v="175"/>
    <x v="0"/>
  </r>
  <r>
    <x v="0"/>
    <x v="3"/>
    <x v="4"/>
    <x v="3"/>
    <x v="0"/>
    <x v="0"/>
    <x v="28"/>
    <x v="16"/>
    <x v="0"/>
  </r>
  <r>
    <x v="0"/>
    <x v="3"/>
    <x v="4"/>
    <x v="3"/>
    <x v="1"/>
    <x v="1"/>
    <x v="16"/>
    <x v="14"/>
    <x v="0"/>
  </r>
  <r>
    <x v="0"/>
    <x v="3"/>
    <x v="4"/>
    <x v="3"/>
    <x v="2"/>
    <x v="2"/>
    <x v="95"/>
    <x v="93"/>
    <x v="0"/>
  </r>
  <r>
    <x v="0"/>
    <x v="3"/>
    <x v="4"/>
    <x v="3"/>
    <x v="6"/>
    <x v="6"/>
    <x v="78"/>
    <x v="155"/>
    <x v="0"/>
  </r>
  <r>
    <x v="0"/>
    <x v="3"/>
    <x v="4"/>
    <x v="3"/>
    <x v="10"/>
    <x v="10"/>
    <x v="98"/>
    <x v="228"/>
    <x v="0"/>
  </r>
  <r>
    <x v="0"/>
    <x v="3"/>
    <x v="5"/>
    <x v="4"/>
    <x v="3"/>
    <x v="3"/>
    <x v="90"/>
    <x v="112"/>
    <x v="0"/>
  </r>
  <r>
    <x v="0"/>
    <x v="3"/>
    <x v="5"/>
    <x v="4"/>
    <x v="6"/>
    <x v="6"/>
    <x v="38"/>
    <x v="84"/>
    <x v="0"/>
  </r>
  <r>
    <x v="0"/>
    <x v="3"/>
    <x v="5"/>
    <x v="4"/>
    <x v="9"/>
    <x v="9"/>
    <x v="62"/>
    <x v="190"/>
    <x v="0"/>
  </r>
  <r>
    <x v="0"/>
    <x v="3"/>
    <x v="5"/>
    <x v="4"/>
    <x v="10"/>
    <x v="10"/>
    <x v="50"/>
    <x v="192"/>
    <x v="0"/>
  </r>
  <r>
    <x v="0"/>
    <x v="3"/>
    <x v="6"/>
    <x v="5"/>
    <x v="2"/>
    <x v="2"/>
    <x v="45"/>
    <x v="48"/>
    <x v="0"/>
  </r>
  <r>
    <x v="0"/>
    <x v="3"/>
    <x v="6"/>
    <x v="5"/>
    <x v="8"/>
    <x v="8"/>
    <x v="72"/>
    <x v="181"/>
    <x v="0"/>
  </r>
  <r>
    <x v="0"/>
    <x v="3"/>
    <x v="6"/>
    <x v="5"/>
    <x v="9"/>
    <x v="9"/>
    <x v="69"/>
    <x v="200"/>
    <x v="0"/>
  </r>
  <r>
    <x v="0"/>
    <x v="3"/>
    <x v="6"/>
    <x v="5"/>
    <x v="10"/>
    <x v="10"/>
    <x v="23"/>
    <x v="122"/>
    <x v="0"/>
  </r>
  <r>
    <x v="0"/>
    <x v="3"/>
    <x v="6"/>
    <x v="5"/>
    <x v="11"/>
    <x v="11"/>
    <x v="44"/>
    <x v="203"/>
    <x v="0"/>
  </r>
  <r>
    <x v="0"/>
    <x v="3"/>
    <x v="7"/>
    <x v="6"/>
    <x v="3"/>
    <x v="3"/>
    <x v="31"/>
    <x v="44"/>
    <x v="0"/>
  </r>
  <r>
    <x v="0"/>
    <x v="3"/>
    <x v="7"/>
    <x v="6"/>
    <x v="7"/>
    <x v="7"/>
    <x v="99"/>
    <x v="187"/>
    <x v="0"/>
  </r>
  <r>
    <x v="0"/>
    <x v="3"/>
    <x v="7"/>
    <x v="6"/>
    <x v="10"/>
    <x v="10"/>
    <x v="101"/>
    <x v="232"/>
    <x v="0"/>
  </r>
  <r>
    <x v="0"/>
    <x v="3"/>
    <x v="8"/>
    <x v="7"/>
    <x v="8"/>
    <x v="8"/>
    <x v="89"/>
    <x v="202"/>
    <x v="0"/>
  </r>
  <r>
    <x v="0"/>
    <x v="3"/>
    <x v="8"/>
    <x v="7"/>
    <x v="10"/>
    <x v="10"/>
    <x v="51"/>
    <x v="194"/>
    <x v="0"/>
  </r>
  <r>
    <x v="0"/>
    <x v="3"/>
    <x v="9"/>
    <x v="8"/>
    <x v="4"/>
    <x v="4"/>
    <x v="39"/>
    <x v="58"/>
    <x v="0"/>
  </r>
  <r>
    <x v="0"/>
    <x v="3"/>
    <x v="9"/>
    <x v="8"/>
    <x v="9"/>
    <x v="9"/>
    <x v="103"/>
    <x v="220"/>
    <x v="0"/>
  </r>
  <r>
    <x v="0"/>
    <x v="3"/>
    <x v="9"/>
    <x v="8"/>
    <x v="11"/>
    <x v="11"/>
    <x v="106"/>
    <x v="238"/>
    <x v="0"/>
  </r>
  <r>
    <x v="1"/>
    <x v="3"/>
    <x v="0"/>
    <x v="9"/>
    <x v="1"/>
    <x v="1"/>
    <x v="89"/>
    <x v="75"/>
    <x v="1"/>
  </r>
  <r>
    <x v="1"/>
    <x v="3"/>
    <x v="0"/>
    <x v="9"/>
    <x v="2"/>
    <x v="2"/>
    <x v="12"/>
    <x v="13"/>
    <x v="1"/>
  </r>
  <r>
    <x v="1"/>
    <x v="3"/>
    <x v="0"/>
    <x v="9"/>
    <x v="4"/>
    <x v="4"/>
    <x v="26"/>
    <x v="41"/>
    <x v="1"/>
  </r>
  <r>
    <x v="1"/>
    <x v="3"/>
    <x v="0"/>
    <x v="9"/>
    <x v="8"/>
    <x v="8"/>
    <x v="41"/>
    <x v="136"/>
    <x v="1"/>
  </r>
  <r>
    <x v="1"/>
    <x v="3"/>
    <x v="0"/>
    <x v="9"/>
    <x v="9"/>
    <x v="9"/>
    <x v="64"/>
    <x v="195"/>
    <x v="1"/>
  </r>
  <r>
    <x v="1"/>
    <x v="3"/>
    <x v="0"/>
    <x v="9"/>
    <x v="10"/>
    <x v="10"/>
    <x v="28"/>
    <x v="152"/>
    <x v="1"/>
  </r>
  <r>
    <x v="1"/>
    <x v="3"/>
    <x v="2"/>
    <x v="1"/>
    <x v="0"/>
    <x v="0"/>
    <x v="85"/>
    <x v="53"/>
    <x v="1"/>
  </r>
  <r>
    <x v="1"/>
    <x v="3"/>
    <x v="2"/>
    <x v="1"/>
    <x v="2"/>
    <x v="2"/>
    <x v="104"/>
    <x v="100"/>
    <x v="1"/>
  </r>
  <r>
    <x v="1"/>
    <x v="3"/>
    <x v="2"/>
    <x v="1"/>
    <x v="5"/>
    <x v="5"/>
    <x v="49"/>
    <x v="83"/>
    <x v="1"/>
  </r>
  <r>
    <x v="1"/>
    <x v="3"/>
    <x v="2"/>
    <x v="1"/>
    <x v="7"/>
    <x v="7"/>
    <x v="98"/>
    <x v="185"/>
    <x v="1"/>
  </r>
  <r>
    <x v="1"/>
    <x v="3"/>
    <x v="2"/>
    <x v="1"/>
    <x v="8"/>
    <x v="8"/>
    <x v="35"/>
    <x v="113"/>
    <x v="1"/>
  </r>
  <r>
    <x v="1"/>
    <x v="3"/>
    <x v="2"/>
    <x v="1"/>
    <x v="10"/>
    <x v="10"/>
    <x v="96"/>
    <x v="226"/>
    <x v="1"/>
  </r>
  <r>
    <x v="1"/>
    <x v="3"/>
    <x v="2"/>
    <x v="1"/>
    <x v="11"/>
    <x v="11"/>
    <x v="76"/>
    <x v="227"/>
    <x v="1"/>
  </r>
  <r>
    <x v="1"/>
    <x v="3"/>
    <x v="3"/>
    <x v="2"/>
    <x v="2"/>
    <x v="2"/>
    <x v="42"/>
    <x v="39"/>
    <x v="1"/>
  </r>
  <r>
    <x v="1"/>
    <x v="3"/>
    <x v="3"/>
    <x v="2"/>
    <x v="4"/>
    <x v="4"/>
    <x v="57"/>
    <x v="85"/>
    <x v="1"/>
  </r>
  <r>
    <x v="1"/>
    <x v="3"/>
    <x v="3"/>
    <x v="2"/>
    <x v="9"/>
    <x v="9"/>
    <x v="52"/>
    <x v="174"/>
    <x v="1"/>
  </r>
  <r>
    <x v="1"/>
    <x v="3"/>
    <x v="3"/>
    <x v="2"/>
    <x v="10"/>
    <x v="10"/>
    <x v="34"/>
    <x v="161"/>
    <x v="1"/>
  </r>
  <r>
    <x v="1"/>
    <x v="3"/>
    <x v="4"/>
    <x v="3"/>
    <x v="1"/>
    <x v="1"/>
    <x v="14"/>
    <x v="11"/>
    <x v="1"/>
  </r>
  <r>
    <x v="1"/>
    <x v="3"/>
    <x v="4"/>
    <x v="3"/>
    <x v="5"/>
    <x v="5"/>
    <x v="42"/>
    <x v="72"/>
    <x v="1"/>
  </r>
  <r>
    <x v="1"/>
    <x v="3"/>
    <x v="4"/>
    <x v="3"/>
    <x v="6"/>
    <x v="6"/>
    <x v="60"/>
    <x v="130"/>
    <x v="1"/>
  </r>
  <r>
    <x v="1"/>
    <x v="3"/>
    <x v="4"/>
    <x v="3"/>
    <x v="7"/>
    <x v="7"/>
    <x v="47"/>
    <x v="123"/>
    <x v="1"/>
  </r>
  <r>
    <x v="1"/>
    <x v="3"/>
    <x v="4"/>
    <x v="3"/>
    <x v="9"/>
    <x v="9"/>
    <x v="14"/>
    <x v="73"/>
    <x v="1"/>
  </r>
  <r>
    <x v="1"/>
    <x v="3"/>
    <x v="5"/>
    <x v="4"/>
    <x v="0"/>
    <x v="0"/>
    <x v="48"/>
    <x v="28"/>
    <x v="1"/>
  </r>
  <r>
    <x v="1"/>
    <x v="3"/>
    <x v="5"/>
    <x v="4"/>
    <x v="2"/>
    <x v="2"/>
    <x v="66"/>
    <x v="62"/>
    <x v="1"/>
  </r>
  <r>
    <x v="1"/>
    <x v="3"/>
    <x v="5"/>
    <x v="4"/>
    <x v="7"/>
    <x v="7"/>
    <x v="52"/>
    <x v="135"/>
    <x v="1"/>
  </r>
  <r>
    <x v="1"/>
    <x v="3"/>
    <x v="5"/>
    <x v="4"/>
    <x v="10"/>
    <x v="10"/>
    <x v="59"/>
    <x v="209"/>
    <x v="1"/>
  </r>
  <r>
    <x v="1"/>
    <x v="3"/>
    <x v="6"/>
    <x v="5"/>
    <x v="0"/>
    <x v="0"/>
    <x v="38"/>
    <x v="18"/>
    <x v="1"/>
  </r>
  <r>
    <x v="1"/>
    <x v="3"/>
    <x v="6"/>
    <x v="5"/>
    <x v="2"/>
    <x v="2"/>
    <x v="31"/>
    <x v="30"/>
    <x v="1"/>
  </r>
  <r>
    <x v="1"/>
    <x v="3"/>
    <x v="6"/>
    <x v="5"/>
    <x v="8"/>
    <x v="8"/>
    <x v="91"/>
    <x v="206"/>
    <x v="1"/>
  </r>
  <r>
    <x v="1"/>
    <x v="3"/>
    <x v="6"/>
    <x v="5"/>
    <x v="10"/>
    <x v="10"/>
    <x v="91"/>
    <x v="224"/>
    <x v="1"/>
  </r>
  <r>
    <x v="1"/>
    <x v="3"/>
    <x v="6"/>
    <x v="5"/>
    <x v="11"/>
    <x v="11"/>
    <x v="19"/>
    <x v="137"/>
    <x v="1"/>
  </r>
  <r>
    <x v="1"/>
    <x v="3"/>
    <x v="7"/>
    <x v="6"/>
    <x v="3"/>
    <x v="3"/>
    <x v="75"/>
    <x v="98"/>
    <x v="1"/>
  </r>
  <r>
    <x v="1"/>
    <x v="3"/>
    <x v="7"/>
    <x v="6"/>
    <x v="6"/>
    <x v="6"/>
    <x v="29"/>
    <x v="69"/>
    <x v="1"/>
  </r>
  <r>
    <x v="1"/>
    <x v="3"/>
    <x v="7"/>
    <x v="6"/>
    <x v="9"/>
    <x v="9"/>
    <x v="110"/>
    <x v="222"/>
    <x v="1"/>
  </r>
  <r>
    <x v="1"/>
    <x v="3"/>
    <x v="7"/>
    <x v="6"/>
    <x v="11"/>
    <x v="11"/>
    <x v="60"/>
    <x v="218"/>
    <x v="1"/>
  </r>
  <r>
    <x v="1"/>
    <x v="3"/>
    <x v="8"/>
    <x v="7"/>
    <x v="1"/>
    <x v="1"/>
    <x v="106"/>
    <x v="87"/>
    <x v="1"/>
  </r>
  <r>
    <x v="1"/>
    <x v="3"/>
    <x v="8"/>
    <x v="7"/>
    <x v="3"/>
    <x v="3"/>
    <x v="17"/>
    <x v="21"/>
    <x v="1"/>
  </r>
  <r>
    <x v="1"/>
    <x v="3"/>
    <x v="8"/>
    <x v="7"/>
    <x v="4"/>
    <x v="4"/>
    <x v="71"/>
    <x v="103"/>
    <x v="1"/>
  </r>
  <r>
    <x v="1"/>
    <x v="3"/>
    <x v="8"/>
    <x v="7"/>
    <x v="11"/>
    <x v="11"/>
    <x v="93"/>
    <x v="236"/>
    <x v="1"/>
  </r>
  <r>
    <x v="1"/>
    <x v="3"/>
    <x v="9"/>
    <x v="8"/>
    <x v="1"/>
    <x v="1"/>
    <x v="52"/>
    <x v="46"/>
    <x v="1"/>
  </r>
  <r>
    <x v="1"/>
    <x v="3"/>
    <x v="9"/>
    <x v="8"/>
    <x v="3"/>
    <x v="3"/>
    <x v="100"/>
    <x v="126"/>
    <x v="1"/>
  </r>
  <r>
    <x v="2"/>
    <x v="3"/>
    <x v="0"/>
    <x v="9"/>
    <x v="4"/>
    <x v="4"/>
    <x v="78"/>
    <x v="109"/>
    <x v="2"/>
  </r>
  <r>
    <x v="2"/>
    <x v="3"/>
    <x v="0"/>
    <x v="9"/>
    <x v="5"/>
    <x v="5"/>
    <x v="31"/>
    <x v="56"/>
    <x v="2"/>
  </r>
  <r>
    <x v="2"/>
    <x v="3"/>
    <x v="0"/>
    <x v="9"/>
    <x v="6"/>
    <x v="6"/>
    <x v="35"/>
    <x v="79"/>
    <x v="2"/>
  </r>
  <r>
    <x v="2"/>
    <x v="3"/>
    <x v="0"/>
    <x v="9"/>
    <x v="7"/>
    <x v="7"/>
    <x v="110"/>
    <x v="199"/>
    <x v="2"/>
  </r>
  <r>
    <x v="2"/>
    <x v="3"/>
    <x v="0"/>
    <x v="9"/>
    <x v="8"/>
    <x v="8"/>
    <x v="105"/>
    <x v="213"/>
    <x v="2"/>
  </r>
  <r>
    <x v="2"/>
    <x v="3"/>
    <x v="0"/>
    <x v="9"/>
    <x v="10"/>
    <x v="10"/>
    <x v="107"/>
    <x v="234"/>
    <x v="2"/>
  </r>
  <r>
    <x v="2"/>
    <x v="3"/>
    <x v="2"/>
    <x v="1"/>
    <x v="1"/>
    <x v="1"/>
    <x v="110"/>
    <x v="90"/>
    <x v="2"/>
  </r>
  <r>
    <x v="2"/>
    <x v="3"/>
    <x v="2"/>
    <x v="1"/>
    <x v="6"/>
    <x v="6"/>
    <x v="31"/>
    <x v="74"/>
    <x v="2"/>
  </r>
  <r>
    <x v="2"/>
    <x v="3"/>
    <x v="2"/>
    <x v="1"/>
    <x v="7"/>
    <x v="7"/>
    <x v="94"/>
    <x v="184"/>
    <x v="2"/>
  </r>
  <r>
    <x v="2"/>
    <x v="3"/>
    <x v="2"/>
    <x v="1"/>
    <x v="9"/>
    <x v="9"/>
    <x v="74"/>
    <x v="208"/>
    <x v="2"/>
  </r>
  <r>
    <x v="2"/>
    <x v="3"/>
    <x v="2"/>
    <x v="1"/>
    <x v="10"/>
    <x v="10"/>
    <x v="98"/>
    <x v="228"/>
    <x v="2"/>
  </r>
  <r>
    <x v="2"/>
    <x v="3"/>
    <x v="2"/>
    <x v="1"/>
    <x v="11"/>
    <x v="11"/>
    <x v="77"/>
    <x v="229"/>
    <x v="2"/>
  </r>
  <r>
    <x v="2"/>
    <x v="3"/>
    <x v="3"/>
    <x v="2"/>
    <x v="1"/>
    <x v="1"/>
    <x v="51"/>
    <x v="45"/>
    <x v="2"/>
  </r>
  <r>
    <x v="2"/>
    <x v="3"/>
    <x v="3"/>
    <x v="2"/>
    <x v="3"/>
    <x v="3"/>
    <x v="86"/>
    <x v="106"/>
    <x v="2"/>
  </r>
  <r>
    <x v="2"/>
    <x v="3"/>
    <x v="3"/>
    <x v="2"/>
    <x v="4"/>
    <x v="4"/>
    <x v="66"/>
    <x v="96"/>
    <x v="2"/>
  </r>
  <r>
    <x v="2"/>
    <x v="3"/>
    <x v="3"/>
    <x v="2"/>
    <x v="6"/>
    <x v="6"/>
    <x v="91"/>
    <x v="171"/>
    <x v="2"/>
  </r>
  <r>
    <x v="2"/>
    <x v="3"/>
    <x v="3"/>
    <x v="2"/>
    <x v="7"/>
    <x v="7"/>
    <x v="61"/>
    <x v="154"/>
    <x v="2"/>
  </r>
  <r>
    <x v="2"/>
    <x v="3"/>
    <x v="3"/>
    <x v="2"/>
    <x v="9"/>
    <x v="9"/>
    <x v="71"/>
    <x v="204"/>
    <x v="2"/>
  </r>
  <r>
    <x v="2"/>
    <x v="3"/>
    <x v="4"/>
    <x v="3"/>
    <x v="0"/>
    <x v="0"/>
    <x v="46"/>
    <x v="27"/>
    <x v="2"/>
  </r>
  <r>
    <x v="2"/>
    <x v="3"/>
    <x v="4"/>
    <x v="3"/>
    <x v="2"/>
    <x v="2"/>
    <x v="79"/>
    <x v="76"/>
    <x v="2"/>
  </r>
  <r>
    <x v="2"/>
    <x v="3"/>
    <x v="4"/>
    <x v="3"/>
    <x v="3"/>
    <x v="3"/>
    <x v="105"/>
    <x v="133"/>
    <x v="2"/>
  </r>
  <r>
    <x v="2"/>
    <x v="3"/>
    <x v="4"/>
    <x v="3"/>
    <x v="11"/>
    <x v="11"/>
    <x v="35"/>
    <x v="182"/>
    <x v="2"/>
  </r>
  <r>
    <x v="2"/>
    <x v="3"/>
    <x v="5"/>
    <x v="4"/>
    <x v="0"/>
    <x v="0"/>
    <x v="62"/>
    <x v="34"/>
    <x v="2"/>
  </r>
  <r>
    <x v="2"/>
    <x v="3"/>
    <x v="5"/>
    <x v="4"/>
    <x v="2"/>
    <x v="2"/>
    <x v="37"/>
    <x v="32"/>
    <x v="2"/>
  </r>
  <r>
    <x v="2"/>
    <x v="3"/>
    <x v="5"/>
    <x v="4"/>
    <x v="3"/>
    <x v="3"/>
    <x v="68"/>
    <x v="89"/>
    <x v="2"/>
  </r>
  <r>
    <x v="2"/>
    <x v="3"/>
    <x v="5"/>
    <x v="4"/>
    <x v="7"/>
    <x v="7"/>
    <x v="81"/>
    <x v="172"/>
    <x v="2"/>
  </r>
  <r>
    <x v="2"/>
    <x v="3"/>
    <x v="5"/>
    <x v="4"/>
    <x v="8"/>
    <x v="8"/>
    <x v="102"/>
    <x v="211"/>
    <x v="2"/>
  </r>
  <r>
    <x v="2"/>
    <x v="3"/>
    <x v="5"/>
    <x v="4"/>
    <x v="9"/>
    <x v="9"/>
    <x v="40"/>
    <x v="156"/>
    <x v="2"/>
  </r>
  <r>
    <x v="2"/>
    <x v="3"/>
    <x v="5"/>
    <x v="4"/>
    <x v="11"/>
    <x v="11"/>
    <x v="81"/>
    <x v="233"/>
    <x v="2"/>
  </r>
  <r>
    <x v="2"/>
    <x v="3"/>
    <x v="6"/>
    <x v="5"/>
    <x v="5"/>
    <x v="5"/>
    <x v="91"/>
    <x v="143"/>
    <x v="2"/>
  </r>
  <r>
    <x v="2"/>
    <x v="3"/>
    <x v="6"/>
    <x v="5"/>
    <x v="6"/>
    <x v="6"/>
    <x v="62"/>
    <x v="134"/>
    <x v="2"/>
  </r>
  <r>
    <x v="2"/>
    <x v="3"/>
    <x v="6"/>
    <x v="5"/>
    <x v="10"/>
    <x v="10"/>
    <x v="92"/>
    <x v="225"/>
    <x v="2"/>
  </r>
  <r>
    <x v="2"/>
    <x v="3"/>
    <x v="6"/>
    <x v="5"/>
    <x v="11"/>
    <x v="11"/>
    <x v="33"/>
    <x v="176"/>
    <x v="2"/>
  </r>
  <r>
    <x v="2"/>
    <x v="3"/>
    <x v="7"/>
    <x v="6"/>
    <x v="0"/>
    <x v="0"/>
    <x v="89"/>
    <x v="57"/>
    <x v="2"/>
  </r>
  <r>
    <x v="2"/>
    <x v="3"/>
    <x v="7"/>
    <x v="6"/>
    <x v="1"/>
    <x v="1"/>
    <x v="83"/>
    <x v="67"/>
    <x v="2"/>
  </r>
  <r>
    <x v="2"/>
    <x v="3"/>
    <x v="7"/>
    <x v="6"/>
    <x v="4"/>
    <x v="4"/>
    <x v="30"/>
    <x v="50"/>
    <x v="2"/>
  </r>
  <r>
    <x v="2"/>
    <x v="3"/>
    <x v="8"/>
    <x v="7"/>
    <x v="1"/>
    <x v="1"/>
    <x v="20"/>
    <x v="15"/>
    <x v="2"/>
  </r>
  <r>
    <x v="2"/>
    <x v="3"/>
    <x v="8"/>
    <x v="7"/>
    <x v="4"/>
    <x v="4"/>
    <x v="73"/>
    <x v="105"/>
    <x v="2"/>
  </r>
  <r>
    <x v="2"/>
    <x v="3"/>
    <x v="8"/>
    <x v="7"/>
    <x v="6"/>
    <x v="6"/>
    <x v="67"/>
    <x v="141"/>
    <x v="2"/>
  </r>
  <r>
    <x v="2"/>
    <x v="3"/>
    <x v="8"/>
    <x v="7"/>
    <x v="8"/>
    <x v="8"/>
    <x v="79"/>
    <x v="189"/>
    <x v="2"/>
  </r>
  <r>
    <x v="2"/>
    <x v="3"/>
    <x v="8"/>
    <x v="7"/>
    <x v="11"/>
    <x v="11"/>
    <x v="18"/>
    <x v="129"/>
    <x v="2"/>
  </r>
  <r>
    <x v="2"/>
    <x v="3"/>
    <x v="9"/>
    <x v="8"/>
    <x v="0"/>
    <x v="0"/>
    <x v="31"/>
    <x v="17"/>
    <x v="2"/>
  </r>
  <r>
    <x v="2"/>
    <x v="3"/>
    <x v="9"/>
    <x v="8"/>
    <x v="7"/>
    <x v="7"/>
    <x v="38"/>
    <x v="99"/>
    <x v="2"/>
  </r>
  <r>
    <x v="2"/>
    <x v="3"/>
    <x v="9"/>
    <x v="8"/>
    <x v="11"/>
    <x v="11"/>
    <x v="99"/>
    <x v="237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ChannelMonth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E9" firstHeaderRow="1" firstDataRow="2" firstDataCol="1"/>
  <pivotFields count="9">
    <pivotField axis="axisCol" compact="0" showAll="0" defaultSubtotal="0">
      <items count="3">
        <item x="0"/>
        <item x="1"/>
        <item x="2"/>
      </items>
    </pivotField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colFields count="1">
    <field x="0"/>
  </colFields>
  <dataFields count="1">
    <dataField name="Sum - NetSales" fld="7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Countr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2:C34" firstHeaderRow="1" firstDataRow="1" firstDataCol="2"/>
  <pivotFields count="9">
    <pivotField compact="0" showAll="0"/>
    <pivotField compact="0" showAll="0"/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/>
    <pivotField dataField="1" compact="0" showAll="0"/>
    <pivotField compact="0" showAll="0"/>
  </pivotFields>
  <rowFields count="1">
    <field x="3"/>
  </rowFields>
  <dataFields count="2">
    <dataField name="Sum - Qty" fld="6" subtotal="sum" numFmtId="166"/>
    <dataField name="Sum - NetSales" fld="7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Mode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F12:H38" firstHeaderRow="1" firstDataRow="1" firstDataCol="2"/>
  <pivotFields count="9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showAll="0"/>
    <pivotField dataField="1" compact="0" showAll="0"/>
    <pivotField compact="0" showAll="0"/>
  </pivotFields>
  <rowFields count="1">
    <field x="5"/>
  </rowFields>
  <dataFields count="2">
    <dataField name="Sum - Qty" fld="6" subtotal="sum" numFmtId="166"/>
    <dataField name="Sum - NetSales" fld="7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49"/>
    <col collapsed="false" customWidth="true" hidden="false" outlineLevel="0" max="2" min="2" style="0" width="3.06"/>
    <col collapsed="false" customWidth="true" hidden="false" outlineLevel="0" max="3" min="3" style="0" width="17.37"/>
    <col collapsed="false" customWidth="true" hidden="false" outlineLevel="0" max="4" min="4" style="0" width="3.06"/>
    <col collapsed="false" customWidth="true" hidden="false" outlineLevel="0" max="5" min="5" style="0" width="17.37"/>
    <col collapsed="false" customWidth="true" hidden="false" outlineLevel="0" max="6" min="6" style="0" width="3.06"/>
    <col collapsed="false" customWidth="true" hidden="false" outlineLevel="0" max="7" min="7" style="0" width="23.49"/>
  </cols>
  <sheetData>
    <row r="1" customFormat="false" ht="22.0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</row>
    <row r="4" customFormat="false" ht="19.7" hidden="false" customHeight="false" outlineLevel="0" collapsed="false">
      <c r="A4" s="3" t="n">
        <f aca="false">Report!C8/1000000</f>
        <v>329.64597</v>
      </c>
      <c r="B4" s="4"/>
      <c r="C4" s="5" t="n">
        <f aca="false">Report!B8</f>
        <v>25276</v>
      </c>
      <c r="D4" s="4"/>
      <c r="E4" s="6" t="n">
        <f aca="false">Report!E8</f>
        <v>1.00196343465046</v>
      </c>
      <c r="F4" s="4"/>
      <c r="G4" s="3" t="n">
        <f aca="false">Report!H8</f>
        <v>60.7255894920082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22.47"/>
    <col collapsed="false" customWidth="true" hidden="false" outlineLevel="0" max="3" min="3" style="0" width="20.43"/>
    <col collapsed="false" customWidth="true" hidden="false" outlineLevel="0" max="4" min="4" style="0" width="18.39"/>
    <col collapsed="false" customWidth="true" hidden="false" outlineLevel="0" max="7" min="5" style="0" width="16.34"/>
    <col collapsed="false" customWidth="true" hidden="false" outlineLevel="0" max="8" min="8" style="0" width="15.32"/>
    <col collapsed="false" customWidth="true" hidden="false" outlineLevel="0" max="9" min="9" style="0" width="3.06"/>
    <col collapsed="false" customWidth="true" hidden="false" outlineLevel="0" max="10" min="10" style="0" width="15.32"/>
    <col collapsed="false" customWidth="true" hidden="false" outlineLevel="0" max="11" min="11" style="0" width="18.39"/>
    <col collapsed="false" customWidth="true" hidden="false" outlineLevel="0" max="12" min="12" style="0" width="17.37"/>
    <col collapsed="false" customWidth="true" hidden="false" outlineLevel="0" max="13" min="13" style="0" width="16.34"/>
  </cols>
  <sheetData>
    <row r="1" customFormat="false" ht="19.7" hidden="false" customHeight="false" outlineLevel="0" collapsed="false">
      <c r="A1" s="7" t="s">
        <v>5</v>
      </c>
    </row>
    <row r="2" customFormat="false" ht="12.8" hidden="false" customHeight="false" outlineLevel="0" collapsed="false">
      <c r="J2" s="2" t="s">
        <v>6</v>
      </c>
    </row>
    <row r="3" customFormat="false" ht="12.8" hidden="false" customHeight="false" outlineLevel="0" collapsed="false">
      <c r="A3" s="8" t="s">
        <v>7</v>
      </c>
      <c r="B3" s="8" t="s">
        <v>8</v>
      </c>
      <c r="C3" s="8" t="s">
        <v>9</v>
      </c>
      <c r="D3" s="8" t="s">
        <v>10</v>
      </c>
      <c r="E3" s="8" t="s">
        <v>3</v>
      </c>
      <c r="F3" s="8" t="s">
        <v>11</v>
      </c>
      <c r="G3" s="8" t="s">
        <v>12</v>
      </c>
      <c r="H3" s="8" t="s">
        <v>13</v>
      </c>
      <c r="J3" s="8" t="s">
        <v>7</v>
      </c>
      <c r="K3" s="8" t="s">
        <v>14</v>
      </c>
      <c r="L3" s="8" t="s">
        <v>15</v>
      </c>
      <c r="M3" s="8" t="s">
        <v>13</v>
      </c>
    </row>
    <row r="4" customFormat="false" ht="12.8" hidden="false" customHeight="false" outlineLevel="0" collapsed="false">
      <c r="A4" s="0" t="s">
        <v>16</v>
      </c>
      <c r="B4" s="9" t="n">
        <f aca="false">SUMIF(Sales!$B$2:$B$310,A4,Sales!$G$2:$G$310)</f>
        <v>5944</v>
      </c>
      <c r="C4" s="9" t="n">
        <f aca="false">SUMIF(Sales!$B$2:$B$310,A4,Sales!$H$2:$H$310)</f>
        <v>72432420</v>
      </c>
      <c r="D4" s="9" t="n">
        <f aca="false">VLOOKUP(A4,Targets!$A$2:$C$5,3,0)</f>
        <v>75000000</v>
      </c>
      <c r="E4" s="10" t="n">
        <f aca="false">C4/D4</f>
        <v>0.9657656</v>
      </c>
      <c r="F4" s="9" t="n">
        <f aca="false">SUMIF(Shipments!$B$2:$B$13,A4,Shipments!$D$2:$D$13)</f>
        <v>5944</v>
      </c>
      <c r="G4" s="9" t="n">
        <f aca="false">SUMIF(Shipments!$B$2:$B$13,A4,Shipments!$E$2:$E$13)</f>
        <v>114800</v>
      </c>
      <c r="H4" s="11" t="n">
        <f aca="false">G4/F4</f>
        <v>19.3135935397039</v>
      </c>
      <c r="J4" s="0" t="str">
        <f aca="false">A4</f>
        <v>Cairo</v>
      </c>
      <c r="K4" s="11" t="n">
        <f aca="false">C4/1000000</f>
        <v>72.43242</v>
      </c>
      <c r="L4" s="11" t="n">
        <f aca="false">D4/1000000</f>
        <v>75</v>
      </c>
      <c r="M4" s="11" t="n">
        <f aca="false">H4</f>
        <v>19.3135935397039</v>
      </c>
    </row>
    <row r="5" customFormat="false" ht="12.8" hidden="false" customHeight="false" outlineLevel="0" collapsed="false">
      <c r="A5" s="0" t="s">
        <v>17</v>
      </c>
      <c r="B5" s="9" t="n">
        <f aca="false">SUMIF(Sales!$B$2:$B$310,A5,Sales!$G$2:$G$310)</f>
        <v>4772</v>
      </c>
      <c r="C5" s="9" t="n">
        <f aca="false">SUMIF(Sales!$B$2:$B$310,A5,Sales!$H$2:$H$310)</f>
        <v>51023330</v>
      </c>
      <c r="D5" s="9" t="n">
        <f aca="false">VLOOKUP(A5,Targets!$A$2:$C$5,3,0)</f>
        <v>47000000</v>
      </c>
      <c r="E5" s="10" t="n">
        <f aca="false">C5/D5</f>
        <v>1.08560276595745</v>
      </c>
      <c r="F5" s="9" t="n">
        <f aca="false">SUMIF(Shipments!$B$2:$B$13,A5,Shipments!$D$2:$D$13)</f>
        <v>4772</v>
      </c>
      <c r="G5" s="9" t="n">
        <f aca="false">SUMIF(Shipments!$B$2:$B$13,A5,Shipments!$E$2:$E$13)</f>
        <v>138600</v>
      </c>
      <c r="H5" s="11" t="n">
        <f aca="false">G5/F5</f>
        <v>29.0444258172674</v>
      </c>
      <c r="J5" s="0" t="str">
        <f aca="false">A5</f>
        <v>Alexandria</v>
      </c>
      <c r="K5" s="11" t="n">
        <f aca="false">C5/1000000</f>
        <v>51.02333</v>
      </c>
      <c r="L5" s="11" t="n">
        <f aca="false">D5/1000000</f>
        <v>47</v>
      </c>
      <c r="M5" s="11" t="n">
        <f aca="false">H5</f>
        <v>29.0444258172674</v>
      </c>
    </row>
    <row r="6" customFormat="false" ht="12.8" hidden="false" customHeight="false" outlineLevel="0" collapsed="false">
      <c r="A6" s="0" t="s">
        <v>18</v>
      </c>
      <c r="B6" s="9" t="n">
        <f aca="false">SUMIF(Sales!$B$2:$B$310,A6,Sales!$G$2:$G$310)</f>
        <v>5369</v>
      </c>
      <c r="C6" s="9" t="n">
        <f aca="false">SUMIF(Sales!$B$2:$B$310,A6,Sales!$H$2:$H$310)</f>
        <v>57862140</v>
      </c>
      <c r="D6" s="9" t="n">
        <f aca="false">VLOOKUP(A6,Targets!$A$2:$C$5,3,0)</f>
        <v>63000000</v>
      </c>
      <c r="E6" s="10" t="n">
        <f aca="false">C6/D6</f>
        <v>0.918446666666667</v>
      </c>
      <c r="F6" s="9" t="n">
        <f aca="false">SUMIF(Shipments!$B$2:$B$13,A6,Shipments!$D$2:$D$13)</f>
        <v>5369</v>
      </c>
      <c r="G6" s="9" t="n">
        <f aca="false">SUMIF(Shipments!$B$2:$B$13,A6,Shipments!$E$2:$E$13)</f>
        <v>129500</v>
      </c>
      <c r="H6" s="11" t="n">
        <f aca="false">G6/F6</f>
        <v>24.1199478487614</v>
      </c>
      <c r="J6" s="0" t="str">
        <f aca="false">A6</f>
        <v>Delta</v>
      </c>
      <c r="K6" s="11" t="n">
        <f aca="false">C6/1000000</f>
        <v>57.86214</v>
      </c>
      <c r="L6" s="11" t="n">
        <f aca="false">D6/1000000</f>
        <v>63</v>
      </c>
      <c r="M6" s="11" t="n">
        <f aca="false">H6</f>
        <v>24.1199478487614</v>
      </c>
    </row>
    <row r="7" customFormat="false" ht="12.8" hidden="false" customHeight="false" outlineLevel="0" collapsed="false">
      <c r="A7" s="0" t="s">
        <v>19</v>
      </c>
      <c r="B7" s="9" t="n">
        <f aca="false">SUMIF(Sales!$B$2:$B$310,A7,Sales!$G$2:$G$310)</f>
        <v>9191</v>
      </c>
      <c r="C7" s="9" t="n">
        <f aca="false">SUMIF(Sales!$B$2:$B$310,A7,Sales!$H$2:$H$310)</f>
        <v>148328080</v>
      </c>
      <c r="D7" s="9" t="n">
        <f aca="false">VLOOKUP(A7,Targets!$A$2:$C$5,3,0)</f>
        <v>144000000</v>
      </c>
      <c r="E7" s="10" t="n">
        <f aca="false">C7/D7</f>
        <v>1.03005611111111</v>
      </c>
      <c r="F7" s="9" t="n">
        <f aca="false">SUMIF(Shipments!$B$2:$B$13,A7,Shipments!$D$2:$D$13)</f>
        <v>9191</v>
      </c>
      <c r="G7" s="9" t="n">
        <f aca="false">SUMIF(Shipments!$B$2:$B$13,A7,Shipments!$E$2:$E$13)</f>
        <v>1152000</v>
      </c>
      <c r="H7" s="11" t="n">
        <f aca="false">G7/F7</f>
        <v>125.340006528125</v>
      </c>
      <c r="J7" s="0" t="str">
        <f aca="false">A7</f>
        <v>Export</v>
      </c>
      <c r="K7" s="11" t="n">
        <f aca="false">C7/1000000</f>
        <v>148.32808</v>
      </c>
      <c r="L7" s="11" t="n">
        <f aca="false">D7/1000000</f>
        <v>144</v>
      </c>
      <c r="M7" s="11" t="n">
        <f aca="false">H7</f>
        <v>125.340006528125</v>
      </c>
    </row>
    <row r="8" customFormat="false" ht="12.8" hidden="false" customHeight="false" outlineLevel="0" collapsed="false">
      <c r="A8" s="12" t="s">
        <v>20</v>
      </c>
      <c r="B8" s="13" t="n">
        <f aca="false">SUM(B4:B7)</f>
        <v>25276</v>
      </c>
      <c r="C8" s="13" t="n">
        <f aca="false">SUM(C4:C7)</f>
        <v>329645970</v>
      </c>
      <c r="D8" s="13" t="n">
        <f aca="false">SUM(D4:D7)</f>
        <v>329000000</v>
      </c>
      <c r="E8" s="14" t="n">
        <f aca="false">C8/D8</f>
        <v>1.00196343465046</v>
      </c>
      <c r="F8" s="13" t="n">
        <f aca="false">SUM(F4:F7)</f>
        <v>25276</v>
      </c>
      <c r="G8" s="13" t="n">
        <f aca="false">SUM(G4:G7)</f>
        <v>1534900</v>
      </c>
      <c r="H8" s="15" t="n">
        <f aca="false">G8/F8</f>
        <v>60.7255894920082</v>
      </c>
    </row>
    <row r="11" customFormat="false" ht="12.8" hidden="false" customHeight="false" outlineLevel="0" collapsed="false">
      <c r="A11" s="8" t="s">
        <v>21</v>
      </c>
      <c r="B11" s="8" t="s">
        <v>9</v>
      </c>
      <c r="D11" s="8" t="s">
        <v>22</v>
      </c>
      <c r="E11" s="8" t="s">
        <v>9</v>
      </c>
    </row>
    <row r="12" customFormat="false" ht="12.8" hidden="false" customHeight="false" outlineLevel="0" collapsed="false">
      <c r="A12" s="0" t="s">
        <v>23</v>
      </c>
      <c r="B12" s="9" t="n">
        <f aca="false">SUMIF(Sales!$A$2:$A$310,A12,Sales!$H$2:$H$310)</f>
        <v>102824550</v>
      </c>
      <c r="D12" s="0" t="s">
        <v>24</v>
      </c>
      <c r="E12" s="9" t="n">
        <f aca="false">SUMIFS(Sales!$H$2:$H$310,Sales!$B$2:$B$310,"Export",Sales!$D$2:$D$310,D12)</f>
        <v>24724420</v>
      </c>
    </row>
    <row r="13" customFormat="false" ht="12.8" hidden="false" customHeight="false" outlineLevel="0" collapsed="false">
      <c r="A13" s="0" t="s">
        <v>25</v>
      </c>
      <c r="B13" s="9" t="n">
        <f aca="false">SUMIF(Sales!$A$2:$A$310,A13,Sales!$H$2:$H$310)</f>
        <v>102919590</v>
      </c>
      <c r="D13" s="0" t="s">
        <v>26</v>
      </c>
      <c r="E13" s="9" t="n">
        <f aca="false">SUMIFS(Sales!$H$2:$H$310,Sales!$B$2:$B$310,"Export",Sales!$D$2:$D$310,D13)</f>
        <v>20762700</v>
      </c>
    </row>
    <row r="14" customFormat="false" ht="12.8" hidden="false" customHeight="false" outlineLevel="0" collapsed="false">
      <c r="A14" s="0" t="s">
        <v>27</v>
      </c>
      <c r="B14" s="9" t="n">
        <f aca="false">SUMIF(Sales!$A$2:$A$310,A14,Sales!$H$2:$H$310)</f>
        <v>123901830</v>
      </c>
      <c r="D14" s="0" t="s">
        <v>28</v>
      </c>
      <c r="E14" s="9" t="n">
        <f aca="false">SUMIFS(Sales!$H$2:$H$310,Sales!$B$2:$B$310,"Export",Sales!$D$2:$D$310,D14)</f>
        <v>18962570</v>
      </c>
    </row>
    <row r="15" customFormat="false" ht="12.8" hidden="false" customHeight="false" outlineLevel="0" collapsed="false">
      <c r="D15" s="0" t="s">
        <v>29</v>
      </c>
      <c r="E15" s="9" t="n">
        <f aca="false">SUMIFS(Sales!$H$2:$H$310,Sales!$B$2:$B$310,"Export",Sales!$D$2:$D$310,D15)</f>
        <v>15361140</v>
      </c>
    </row>
    <row r="16" customFormat="false" ht="12.8" hidden="false" customHeight="false" outlineLevel="0" collapsed="false">
      <c r="D16" s="0" t="s">
        <v>30</v>
      </c>
      <c r="E16" s="9" t="n">
        <f aca="false">SUMIFS(Sales!$H$2:$H$310,Sales!$B$2:$B$310,"Export",Sales!$D$2:$D$310,D16)</f>
        <v>14910810</v>
      </c>
    </row>
    <row r="17" customFormat="false" ht="12.8" hidden="false" customHeight="false" outlineLevel="0" collapsed="false">
      <c r="D17" s="0" t="s">
        <v>31</v>
      </c>
      <c r="E17" s="9" t="n">
        <f aca="false">SUMIFS(Sales!$H$2:$H$310,Sales!$B$2:$B$310,"Export",Sales!$D$2:$D$310,D17)</f>
        <v>14493690</v>
      </c>
    </row>
    <row r="18" customFormat="false" ht="12.8" hidden="false" customHeight="false" outlineLevel="0" collapsed="false">
      <c r="D18" s="0" t="s">
        <v>32</v>
      </c>
      <c r="E18" s="9" t="n">
        <f aca="false">SUMIFS(Sales!$H$2:$H$310,Sales!$B$2:$B$310,"Export",Sales!$D$2:$D$310,D18)</f>
        <v>14194400</v>
      </c>
    </row>
    <row r="19" customFormat="false" ht="12.8" hidden="false" customHeight="false" outlineLevel="0" collapsed="false">
      <c r="D19" s="0" t="s">
        <v>33</v>
      </c>
      <c r="E19" s="9" t="n">
        <f aca="false">SUMIFS(Sales!$H$2:$H$310,Sales!$B$2:$B$310,"Export",Sales!$D$2:$D$310,D19)</f>
        <v>12948920</v>
      </c>
    </row>
    <row r="20" customFormat="false" ht="12.8" hidden="false" customHeight="false" outlineLevel="0" collapsed="false">
      <c r="D20" s="0" t="s">
        <v>34</v>
      </c>
      <c r="E20" s="9" t="n">
        <f aca="false">SUMIFS(Sales!$H$2:$H$310,Sales!$B$2:$B$310,"Export",Sales!$D$2:$D$310,D20)</f>
        <v>11969430</v>
      </c>
    </row>
    <row r="23" customFormat="false" ht="12.8" hidden="false" customHeight="false" outlineLevel="0" collapsed="false">
      <c r="A23" s="8" t="s">
        <v>35</v>
      </c>
      <c r="B23" s="8" t="s">
        <v>36</v>
      </c>
      <c r="C23" s="8" t="s">
        <v>37</v>
      </c>
      <c r="D23" s="8" t="s">
        <v>38</v>
      </c>
      <c r="E23" s="8" t="s">
        <v>39</v>
      </c>
    </row>
    <row r="24" customFormat="false" ht="12.8" hidden="false" customHeight="false" outlineLevel="0" collapsed="false">
      <c r="A24" s="16" t="s">
        <v>40</v>
      </c>
      <c r="B24" s="16" t="str">
        <f aca="false">VLOOKUP(A24,Models!$A$2:$B$13,2,0)</f>
        <v>65-inch 4K TV</v>
      </c>
      <c r="C24" s="17" t="n">
        <f aca="false">SUMIF(Returns!$B$2:$B$37,A24,Returns!$D$2:$D$37)</f>
        <v>34</v>
      </c>
      <c r="D24" s="17" t="n">
        <f aca="false">SUMIF(Sales!$E$2:$E$310,A24,Sales!$G$2:$G$310)</f>
        <v>1432</v>
      </c>
      <c r="E24" s="18" t="n">
        <f aca="false">C24/D24</f>
        <v>0.0237430167597765</v>
      </c>
    </row>
    <row r="25" customFormat="false" ht="12.8" hidden="false" customHeight="false" outlineLevel="0" collapsed="false">
      <c r="A25" s="16" t="s">
        <v>41</v>
      </c>
      <c r="B25" s="16" t="str">
        <f aca="false">VLOOKUP(A25,Models!$A$2:$B$13,2,0)</f>
        <v>75-inch 4K TV</v>
      </c>
      <c r="C25" s="17" t="n">
        <f aca="false">SUMIF(Returns!$B$2:$B$37,A25,Returns!$D$2:$D$37)</f>
        <v>30</v>
      </c>
      <c r="D25" s="17" t="n">
        <f aca="false">SUMIF(Sales!$E$2:$E$310,A25,Sales!$G$2:$G$310)</f>
        <v>1546</v>
      </c>
      <c r="E25" s="18" t="n">
        <f aca="false">C25/D25</f>
        <v>0.019404915912031</v>
      </c>
    </row>
    <row r="26" customFormat="false" ht="12.8" hidden="false" customHeight="false" outlineLevel="0" collapsed="false">
      <c r="A26" s="16" t="s">
        <v>42</v>
      </c>
      <c r="B26" s="16" t="str">
        <f aca="false">VLOOKUP(A26,Models!$A$2:$B$13,2,0)</f>
        <v>65-inch QLED TV</v>
      </c>
      <c r="C26" s="17" t="n">
        <f aca="false">SUMIF(Returns!$B$2:$B$37,A26,Returns!$D$2:$D$37)</f>
        <v>25</v>
      </c>
      <c r="D26" s="17" t="n">
        <f aca="false">SUMIF(Sales!$E$2:$E$310,A26,Sales!$G$2:$G$310)</f>
        <v>1858</v>
      </c>
      <c r="E26" s="18" t="n">
        <f aca="false">C26/D26</f>
        <v>0.0134553283100108</v>
      </c>
    </row>
    <row r="27" customFormat="false" ht="12.8" hidden="false" customHeight="false" outlineLevel="0" collapsed="false">
      <c r="A27" s="0" t="s">
        <v>43</v>
      </c>
      <c r="B27" s="0" t="str">
        <f aca="false">VLOOKUP(A27,Models!$A$2:$B$13,2,0)</f>
        <v>32-inch HD TV</v>
      </c>
      <c r="C27" s="9" t="n">
        <f aca="false">SUMIF(Returns!$B$2:$B$37,A27,Returns!$D$2:$D$37)</f>
        <v>34</v>
      </c>
      <c r="D27" s="9" t="n">
        <f aca="false">SUMIF(Sales!$E$2:$E$310,A27,Sales!$G$2:$G$310)</f>
        <v>2531</v>
      </c>
      <c r="E27" s="10" t="n">
        <f aca="false">C27/D27</f>
        <v>0.0134334255235085</v>
      </c>
    </row>
    <row r="28" customFormat="false" ht="12.8" hidden="false" customHeight="false" outlineLevel="0" collapsed="false">
      <c r="A28" s="0" t="s">
        <v>44</v>
      </c>
      <c r="B28" s="0" t="str">
        <f aca="false">VLOOKUP(A28,Models!$A$2:$B$13,2,0)</f>
        <v>55-inch 4K TV</v>
      </c>
      <c r="C28" s="9" t="n">
        <f aca="false">SUMIF(Returns!$B$2:$B$37,A28,Returns!$D$2:$D$37)</f>
        <v>29</v>
      </c>
      <c r="D28" s="9" t="n">
        <f aca="false">SUMIF(Sales!$E$2:$E$310,A28,Sales!$G$2:$G$310)</f>
        <v>2365</v>
      </c>
      <c r="E28" s="10" t="n">
        <f aca="false">C28/D28</f>
        <v>0.012262156448203</v>
      </c>
    </row>
    <row r="29" customFormat="false" ht="12.8" hidden="false" customHeight="false" outlineLevel="0" collapsed="false">
      <c r="A29" s="0" t="s">
        <v>45</v>
      </c>
      <c r="B29" s="0" t="str">
        <f aca="false">VLOOKUP(A29,Models!$A$2:$B$13,2,0)</f>
        <v>40-inch Full HD TV</v>
      </c>
      <c r="C29" s="9" t="n">
        <f aca="false">SUMIF(Returns!$B$2:$B$37,A29,Returns!$D$2:$D$37)</f>
        <v>30</v>
      </c>
      <c r="D29" s="9" t="n">
        <f aca="false">SUMIF(Sales!$E$2:$E$310,A29,Sales!$G$2:$G$310)</f>
        <v>3052</v>
      </c>
      <c r="E29" s="10" t="n">
        <f aca="false">C29/D29</f>
        <v>0.00982961992136304</v>
      </c>
    </row>
    <row r="30" customFormat="false" ht="12.8" hidden="false" customHeight="false" outlineLevel="0" collapsed="false">
      <c r="A30" s="0" t="s">
        <v>46</v>
      </c>
      <c r="B30" s="0" t="str">
        <f aca="false">VLOOKUP(A30,Models!$A$2:$B$13,2,0)</f>
        <v>43-inch Full HD TV</v>
      </c>
      <c r="C30" s="9" t="n">
        <f aca="false">SUMIF(Returns!$B$2:$B$37,A30,Returns!$D$2:$D$37)</f>
        <v>22</v>
      </c>
      <c r="D30" s="9" t="n">
        <f aca="false">SUMIF(Sales!$E$2:$E$310,A30,Sales!$G$2:$G$310)</f>
        <v>2578</v>
      </c>
      <c r="E30" s="10" t="n">
        <f aca="false">C30/D30</f>
        <v>0.00853374709076804</v>
      </c>
    </row>
    <row r="31" customFormat="false" ht="12.8" hidden="false" customHeight="false" outlineLevel="0" collapsed="false">
      <c r="A31" s="0" t="s">
        <v>47</v>
      </c>
      <c r="B31" s="0" t="str">
        <f aca="false">VLOOKUP(A31,Models!$A$2:$B$13,2,0)</f>
        <v>32-inch Smart TV</v>
      </c>
      <c r="C31" s="9" t="n">
        <f aca="false">SUMIF(Returns!$B$2:$B$37,A31,Returns!$D$2:$D$37)</f>
        <v>19</v>
      </c>
      <c r="D31" s="9" t="n">
        <f aca="false">SUMIF(Sales!$E$2:$E$310,A31,Sales!$G$2:$G$310)</f>
        <v>2231</v>
      </c>
      <c r="E31" s="10" t="n">
        <f aca="false">C31/D31</f>
        <v>0.00851636037651278</v>
      </c>
    </row>
    <row r="32" customFormat="false" ht="12.8" hidden="false" customHeight="false" outlineLevel="0" collapsed="false">
      <c r="A32" s="0" t="s">
        <v>48</v>
      </c>
      <c r="B32" s="0" t="str">
        <f aca="false">VLOOKUP(A32,Models!$A$2:$B$13,2,0)</f>
        <v>55-inch QLED TV</v>
      </c>
      <c r="C32" s="9" t="n">
        <f aca="false">SUMIF(Returns!$B$2:$B$37,A32,Returns!$D$2:$D$37)</f>
        <v>14</v>
      </c>
      <c r="D32" s="9" t="n">
        <f aca="false">SUMIF(Sales!$E$2:$E$310,A32,Sales!$G$2:$G$310)</f>
        <v>1682</v>
      </c>
      <c r="E32" s="10" t="n">
        <f aca="false">C32/D32</f>
        <v>0.00832342449464923</v>
      </c>
    </row>
    <row r="33" customFormat="false" ht="12.8" hidden="false" customHeight="false" outlineLevel="0" collapsed="false">
      <c r="A33" s="0" t="s">
        <v>49</v>
      </c>
      <c r="B33" s="0" t="str">
        <f aca="false">VLOOKUP(A33,Models!$A$2:$B$13,2,0)</f>
        <v>43-inch Smart TV</v>
      </c>
      <c r="C33" s="9" t="n">
        <f aca="false">SUMIF(Returns!$B$2:$B$37,A33,Returns!$D$2:$D$37)</f>
        <v>16</v>
      </c>
      <c r="D33" s="9" t="n">
        <f aca="false">SUMIF(Sales!$E$2:$E$310,A33,Sales!$G$2:$G$310)</f>
        <v>2040</v>
      </c>
      <c r="E33" s="10" t="n">
        <f aca="false">C33/D33</f>
        <v>0.00784313725490196</v>
      </c>
    </row>
    <row r="34" customFormat="false" ht="12.8" hidden="false" customHeight="false" outlineLevel="0" collapsed="false">
      <c r="A34" s="0" t="s">
        <v>50</v>
      </c>
      <c r="B34" s="0" t="str">
        <f aca="false">VLOOKUP(A34,Models!$A$2:$B$13,2,0)</f>
        <v>50-inch 4K TV</v>
      </c>
      <c r="C34" s="9" t="n">
        <f aca="false">SUMIF(Returns!$B$2:$B$37,A34,Returns!$D$2:$D$37)</f>
        <v>12</v>
      </c>
      <c r="D34" s="9" t="n">
        <f aca="false">SUMIF(Sales!$E$2:$E$310,A34,Sales!$G$2:$G$310)</f>
        <v>1569</v>
      </c>
      <c r="E34" s="10" t="n">
        <f aca="false">C34/D34</f>
        <v>0.00764818355640535</v>
      </c>
    </row>
    <row r="35" customFormat="false" ht="12.8" hidden="false" customHeight="false" outlineLevel="0" collapsed="false">
      <c r="A35" s="0" t="s">
        <v>51</v>
      </c>
      <c r="B35" s="0" t="str">
        <f aca="false">VLOOKUP(A35,Models!$A$2:$B$13,2,0)</f>
        <v>24-inch HD TV</v>
      </c>
      <c r="C35" s="9" t="n">
        <f aca="false">SUMIF(Returns!$B$2:$B$37,A35,Returns!$D$2:$D$37)</f>
        <v>16</v>
      </c>
      <c r="D35" s="9" t="n">
        <f aca="false">SUMIF(Sales!$E$2:$E$310,A35,Sales!$G$2:$G$310)</f>
        <v>2392</v>
      </c>
      <c r="E35" s="10" t="n">
        <f aca="false">C35/D35</f>
        <v>0.00668896321070234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4"/>
    <col collapsed="false" customWidth="true" hidden="false" outlineLevel="0" max="5" min="2" style="0" width="16.34"/>
    <col collapsed="false" customWidth="true" hidden="false" outlineLevel="0" max="6" min="6" style="0" width="25.54"/>
    <col collapsed="false" customWidth="true" hidden="false" outlineLevel="0" max="7" min="7" style="0" width="13.28"/>
    <col collapsed="false" customWidth="true" hidden="false" outlineLevel="0" max="8" min="8" style="0" width="17.37"/>
  </cols>
  <sheetData>
    <row r="1" customFormat="false" ht="16.15" hidden="false" customHeight="false" outlineLevel="0" collapsed="false">
      <c r="A1" s="19" t="s">
        <v>52</v>
      </c>
    </row>
    <row r="3" customFormat="false" ht="12.8" hidden="false" customHeight="false" outlineLevel="0" collapsed="false">
      <c r="A3" s="20" t="s">
        <v>53</v>
      </c>
      <c r="B3" s="21" t="s">
        <v>21</v>
      </c>
      <c r="C3" s="22"/>
      <c r="D3" s="22"/>
      <c r="E3" s="23"/>
    </row>
    <row r="4" customFormat="false" ht="12.8" hidden="false" customHeight="false" outlineLevel="0" collapsed="false">
      <c r="A4" s="24" t="s">
        <v>7</v>
      </c>
      <c r="B4" s="25" t="s">
        <v>23</v>
      </c>
      <c r="C4" s="26" t="s">
        <v>25</v>
      </c>
      <c r="D4" s="26" t="s">
        <v>27</v>
      </c>
      <c r="E4" s="27" t="s">
        <v>54</v>
      </c>
    </row>
    <row r="5" customFormat="false" ht="12.8" hidden="false" customHeight="false" outlineLevel="0" collapsed="false">
      <c r="A5" s="28" t="s">
        <v>17</v>
      </c>
      <c r="B5" s="29" t="n">
        <v>17923970</v>
      </c>
      <c r="C5" s="30" t="n">
        <v>12338210</v>
      </c>
      <c r="D5" s="31" t="n">
        <v>20761150</v>
      </c>
      <c r="E5" s="32" t="n">
        <v>51023330</v>
      </c>
    </row>
    <row r="6" customFormat="false" ht="12.8" hidden="false" customHeight="false" outlineLevel="0" collapsed="false">
      <c r="A6" s="33" t="s">
        <v>16</v>
      </c>
      <c r="B6" s="34" t="n">
        <v>23070230</v>
      </c>
      <c r="C6" s="35" t="n">
        <v>26650440</v>
      </c>
      <c r="D6" s="36" t="n">
        <v>22711750</v>
      </c>
      <c r="E6" s="37" t="n">
        <v>72432420</v>
      </c>
    </row>
    <row r="7" customFormat="false" ht="12.8" hidden="false" customHeight="false" outlineLevel="0" collapsed="false">
      <c r="A7" s="33" t="s">
        <v>18</v>
      </c>
      <c r="B7" s="34" t="n">
        <v>21499300</v>
      </c>
      <c r="C7" s="35" t="n">
        <v>16074950</v>
      </c>
      <c r="D7" s="36" t="n">
        <v>20287890</v>
      </c>
      <c r="E7" s="37" t="n">
        <v>57862140</v>
      </c>
    </row>
    <row r="8" customFormat="false" ht="12.8" hidden="false" customHeight="false" outlineLevel="0" collapsed="false">
      <c r="A8" s="33" t="s">
        <v>19</v>
      </c>
      <c r="B8" s="38" t="n">
        <v>40331050</v>
      </c>
      <c r="C8" s="39" t="n">
        <v>47855990</v>
      </c>
      <c r="D8" s="40" t="n">
        <v>60141040</v>
      </c>
      <c r="E8" s="41" t="n">
        <v>148328080</v>
      </c>
    </row>
    <row r="9" customFormat="false" ht="12.8" hidden="false" customHeight="false" outlineLevel="0" collapsed="false">
      <c r="A9" s="42" t="s">
        <v>54</v>
      </c>
      <c r="B9" s="43" t="n">
        <v>102824550</v>
      </c>
      <c r="C9" s="44" t="n">
        <v>102919590</v>
      </c>
      <c r="D9" s="45" t="n">
        <v>123901830</v>
      </c>
      <c r="E9" s="46" t="n">
        <v>329645970</v>
      </c>
    </row>
    <row r="12" customFormat="false" ht="12.8" hidden="false" customHeight="false" outlineLevel="0" collapsed="false">
      <c r="A12" s="47" t="s">
        <v>55</v>
      </c>
      <c r="B12" s="21" t="s">
        <v>56</v>
      </c>
      <c r="C12" s="48"/>
      <c r="F12" s="47" t="s">
        <v>36</v>
      </c>
      <c r="G12" s="21" t="s">
        <v>56</v>
      </c>
      <c r="H12" s="48"/>
    </row>
    <row r="13" customFormat="false" ht="12.8" hidden="false" customHeight="false" outlineLevel="0" collapsed="false">
      <c r="A13" s="28" t="s">
        <v>57</v>
      </c>
      <c r="B13" s="49" t="s">
        <v>58</v>
      </c>
      <c r="C13" s="50" t="n">
        <v>16085</v>
      </c>
      <c r="F13" s="28" t="s">
        <v>59</v>
      </c>
      <c r="G13" s="49" t="s">
        <v>58</v>
      </c>
      <c r="H13" s="50" t="n">
        <v>2392</v>
      </c>
    </row>
    <row r="14" customFormat="false" ht="12.8" hidden="false" customHeight="false" outlineLevel="0" collapsed="false">
      <c r="A14" s="51"/>
      <c r="B14" s="52" t="s">
        <v>53</v>
      </c>
      <c r="C14" s="53" t="n">
        <v>181317890</v>
      </c>
      <c r="F14" s="51"/>
      <c r="G14" s="52" t="s">
        <v>53</v>
      </c>
      <c r="H14" s="53" t="n">
        <v>8488880</v>
      </c>
    </row>
    <row r="15" customFormat="false" ht="12.8" hidden="false" customHeight="false" outlineLevel="0" collapsed="false">
      <c r="A15" s="28" t="s">
        <v>24</v>
      </c>
      <c r="B15" s="49" t="s">
        <v>58</v>
      </c>
      <c r="C15" s="50" t="n">
        <v>1471</v>
      </c>
      <c r="F15" s="28" t="s">
        <v>60</v>
      </c>
      <c r="G15" s="49" t="s">
        <v>58</v>
      </c>
      <c r="H15" s="50" t="n">
        <v>2531</v>
      </c>
    </row>
    <row r="16" customFormat="false" ht="12.8" hidden="false" customHeight="false" outlineLevel="0" collapsed="false">
      <c r="A16" s="51"/>
      <c r="B16" s="52" t="s">
        <v>53</v>
      </c>
      <c r="C16" s="53" t="n">
        <v>24724420</v>
      </c>
      <c r="F16" s="51"/>
      <c r="G16" s="52" t="s">
        <v>53</v>
      </c>
      <c r="H16" s="53" t="n">
        <v>12047040</v>
      </c>
    </row>
    <row r="17" customFormat="false" ht="12.8" hidden="false" customHeight="false" outlineLevel="0" collapsed="false">
      <c r="A17" s="28" t="s">
        <v>33</v>
      </c>
      <c r="B17" s="49" t="s">
        <v>58</v>
      </c>
      <c r="C17" s="50" t="n">
        <v>990</v>
      </c>
      <c r="F17" s="28" t="s">
        <v>61</v>
      </c>
      <c r="G17" s="49" t="s">
        <v>58</v>
      </c>
      <c r="H17" s="50" t="n">
        <v>2231</v>
      </c>
    </row>
    <row r="18" customFormat="false" ht="12.8" hidden="false" customHeight="false" outlineLevel="0" collapsed="false">
      <c r="A18" s="51"/>
      <c r="B18" s="52" t="s">
        <v>53</v>
      </c>
      <c r="C18" s="53" t="n">
        <v>12948920</v>
      </c>
      <c r="F18" s="51"/>
      <c r="G18" s="52" t="s">
        <v>53</v>
      </c>
      <c r="H18" s="53" t="n">
        <v>12491960</v>
      </c>
    </row>
    <row r="19" customFormat="false" ht="12.8" hidden="false" customHeight="false" outlineLevel="0" collapsed="false">
      <c r="A19" s="28" t="s">
        <v>34</v>
      </c>
      <c r="B19" s="49" t="s">
        <v>58</v>
      </c>
      <c r="C19" s="50" t="n">
        <v>988</v>
      </c>
      <c r="F19" s="28" t="s">
        <v>62</v>
      </c>
      <c r="G19" s="49" t="s">
        <v>58</v>
      </c>
      <c r="H19" s="50" t="n">
        <v>3052</v>
      </c>
    </row>
    <row r="20" customFormat="false" ht="12.8" hidden="false" customHeight="false" outlineLevel="0" collapsed="false">
      <c r="A20" s="51"/>
      <c r="B20" s="52" t="s">
        <v>53</v>
      </c>
      <c r="C20" s="53" t="n">
        <v>11969430</v>
      </c>
      <c r="F20" s="51"/>
      <c r="G20" s="52" t="s">
        <v>53</v>
      </c>
      <c r="H20" s="53" t="n">
        <v>23073360</v>
      </c>
    </row>
    <row r="21" customFormat="false" ht="12.8" hidden="false" customHeight="false" outlineLevel="0" collapsed="false">
      <c r="A21" s="28" t="s">
        <v>28</v>
      </c>
      <c r="B21" s="49" t="s">
        <v>58</v>
      </c>
      <c r="C21" s="50" t="n">
        <v>1207</v>
      </c>
      <c r="F21" s="28" t="s">
        <v>63</v>
      </c>
      <c r="G21" s="49" t="s">
        <v>58</v>
      </c>
      <c r="H21" s="50" t="n">
        <v>2578</v>
      </c>
    </row>
    <row r="22" customFormat="false" ht="12.8" hidden="false" customHeight="false" outlineLevel="0" collapsed="false">
      <c r="A22" s="51"/>
      <c r="B22" s="52" t="s">
        <v>53</v>
      </c>
      <c r="C22" s="53" t="n">
        <v>18962570</v>
      </c>
      <c r="F22" s="51"/>
      <c r="G22" s="52" t="s">
        <v>53</v>
      </c>
      <c r="H22" s="53" t="n">
        <v>21735160</v>
      </c>
    </row>
    <row r="23" customFormat="false" ht="12.8" hidden="false" customHeight="false" outlineLevel="0" collapsed="false">
      <c r="A23" s="28" t="s">
        <v>26</v>
      </c>
      <c r="B23" s="49" t="s">
        <v>58</v>
      </c>
      <c r="C23" s="50" t="n">
        <v>1034</v>
      </c>
      <c r="F23" s="28" t="s">
        <v>64</v>
      </c>
      <c r="G23" s="49" t="s">
        <v>58</v>
      </c>
      <c r="H23" s="50" t="n">
        <v>2040</v>
      </c>
    </row>
    <row r="24" customFormat="false" ht="12.8" hidden="false" customHeight="false" outlineLevel="0" collapsed="false">
      <c r="A24" s="51"/>
      <c r="B24" s="52" t="s">
        <v>53</v>
      </c>
      <c r="C24" s="53" t="n">
        <v>20762700</v>
      </c>
      <c r="F24" s="51"/>
      <c r="G24" s="52" t="s">
        <v>53</v>
      </c>
      <c r="H24" s="53" t="n">
        <v>19495960</v>
      </c>
    </row>
    <row r="25" customFormat="false" ht="12.8" hidden="false" customHeight="false" outlineLevel="0" collapsed="false">
      <c r="A25" s="28" t="s">
        <v>32</v>
      </c>
      <c r="B25" s="49" t="s">
        <v>58</v>
      </c>
      <c r="C25" s="50" t="n">
        <v>908</v>
      </c>
      <c r="F25" s="28" t="s">
        <v>65</v>
      </c>
      <c r="G25" s="49" t="s">
        <v>58</v>
      </c>
      <c r="H25" s="50" t="n">
        <v>1569</v>
      </c>
    </row>
    <row r="26" customFormat="false" ht="12.8" hidden="false" customHeight="false" outlineLevel="0" collapsed="false">
      <c r="A26" s="51"/>
      <c r="B26" s="52" t="s">
        <v>53</v>
      </c>
      <c r="C26" s="53" t="n">
        <v>14194400</v>
      </c>
      <c r="F26" s="51"/>
      <c r="G26" s="52" t="s">
        <v>53</v>
      </c>
      <c r="H26" s="53" t="n">
        <v>19733440</v>
      </c>
    </row>
    <row r="27" customFormat="false" ht="12.8" hidden="false" customHeight="false" outlineLevel="0" collapsed="false">
      <c r="A27" s="28" t="s">
        <v>31</v>
      </c>
      <c r="B27" s="49" t="s">
        <v>58</v>
      </c>
      <c r="C27" s="50" t="n">
        <v>881</v>
      </c>
      <c r="F27" s="28" t="s">
        <v>66</v>
      </c>
      <c r="G27" s="49" t="s">
        <v>58</v>
      </c>
      <c r="H27" s="50" t="n">
        <v>2365</v>
      </c>
    </row>
    <row r="28" customFormat="false" ht="12.8" hidden="false" customHeight="false" outlineLevel="0" collapsed="false">
      <c r="A28" s="51"/>
      <c r="B28" s="52" t="s">
        <v>53</v>
      </c>
      <c r="C28" s="53" t="n">
        <v>14493690</v>
      </c>
      <c r="F28" s="51"/>
      <c r="G28" s="52" t="s">
        <v>53</v>
      </c>
      <c r="H28" s="53" t="n">
        <v>35274550</v>
      </c>
    </row>
    <row r="29" customFormat="false" ht="12.8" hidden="false" customHeight="false" outlineLevel="0" collapsed="false">
      <c r="A29" s="28" t="s">
        <v>30</v>
      </c>
      <c r="B29" s="49" t="s">
        <v>58</v>
      </c>
      <c r="C29" s="50" t="n">
        <v>725</v>
      </c>
      <c r="F29" s="28" t="s">
        <v>67</v>
      </c>
      <c r="G29" s="49" t="s">
        <v>58</v>
      </c>
      <c r="H29" s="50" t="n">
        <v>1682</v>
      </c>
    </row>
    <row r="30" customFormat="false" ht="12.8" hidden="false" customHeight="false" outlineLevel="0" collapsed="false">
      <c r="A30" s="51"/>
      <c r="B30" s="52" t="s">
        <v>53</v>
      </c>
      <c r="C30" s="53" t="n">
        <v>14910810</v>
      </c>
      <c r="F30" s="51"/>
      <c r="G30" s="52" t="s">
        <v>53</v>
      </c>
      <c r="H30" s="53" t="n">
        <v>31620440</v>
      </c>
    </row>
    <row r="31" customFormat="false" ht="12.8" hidden="false" customHeight="false" outlineLevel="0" collapsed="false">
      <c r="A31" s="28" t="s">
        <v>29</v>
      </c>
      <c r="B31" s="49" t="s">
        <v>58</v>
      </c>
      <c r="C31" s="50" t="n">
        <v>987</v>
      </c>
      <c r="F31" s="28" t="s">
        <v>68</v>
      </c>
      <c r="G31" s="49" t="s">
        <v>58</v>
      </c>
      <c r="H31" s="50" t="n">
        <v>1432</v>
      </c>
    </row>
    <row r="32" customFormat="false" ht="12.8" hidden="false" customHeight="false" outlineLevel="0" collapsed="false">
      <c r="A32" s="51"/>
      <c r="B32" s="52" t="s">
        <v>53</v>
      </c>
      <c r="C32" s="53" t="n">
        <v>15361140</v>
      </c>
      <c r="F32" s="51"/>
      <c r="G32" s="52" t="s">
        <v>53</v>
      </c>
      <c r="H32" s="53" t="n">
        <v>33909040</v>
      </c>
    </row>
    <row r="33" customFormat="false" ht="12.8" hidden="false" customHeight="false" outlineLevel="0" collapsed="false">
      <c r="A33" s="54" t="s">
        <v>69</v>
      </c>
      <c r="B33" s="55"/>
      <c r="C33" s="56" t="n">
        <v>25276</v>
      </c>
      <c r="F33" s="28" t="s">
        <v>70</v>
      </c>
      <c r="G33" s="49" t="s">
        <v>58</v>
      </c>
      <c r="H33" s="50" t="n">
        <v>1858</v>
      </c>
    </row>
    <row r="34" customFormat="false" ht="12.8" hidden="false" customHeight="false" outlineLevel="0" collapsed="false">
      <c r="A34" s="57" t="s">
        <v>71</v>
      </c>
      <c r="B34" s="58"/>
      <c r="C34" s="46" t="n">
        <v>329645970</v>
      </c>
      <c r="F34" s="51"/>
      <c r="G34" s="52" t="s">
        <v>53</v>
      </c>
      <c r="H34" s="53" t="n">
        <v>54174680</v>
      </c>
    </row>
    <row r="35" customFormat="false" ht="12.8" hidden="false" customHeight="false" outlineLevel="0" collapsed="false">
      <c r="F35" s="28" t="s">
        <v>72</v>
      </c>
      <c r="G35" s="49" t="s">
        <v>58</v>
      </c>
      <c r="H35" s="50" t="n">
        <v>1546</v>
      </c>
    </row>
    <row r="36" customFormat="false" ht="12.8" hidden="false" customHeight="false" outlineLevel="0" collapsed="false">
      <c r="F36" s="51"/>
      <c r="G36" s="52" t="s">
        <v>53</v>
      </c>
      <c r="H36" s="53" t="n">
        <v>57601460</v>
      </c>
    </row>
    <row r="37" customFormat="false" ht="12.8" hidden="false" customHeight="false" outlineLevel="0" collapsed="false">
      <c r="F37" s="54" t="s">
        <v>69</v>
      </c>
      <c r="G37" s="55"/>
      <c r="H37" s="56" t="n">
        <v>25276</v>
      </c>
    </row>
    <row r="38" customFormat="false" ht="12.8" hidden="false" customHeight="false" outlineLevel="0" collapsed="false">
      <c r="F38" s="57" t="s">
        <v>71</v>
      </c>
      <c r="G38" s="58"/>
      <c r="H38" s="46" t="n">
        <v>329645970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4"/>
    <col collapsed="false" customWidth="true" hidden="false" outlineLevel="0" max="3" min="2" style="0" width="14.3"/>
    <col collapsed="false" customWidth="true" hidden="false" outlineLevel="0" max="4" min="4" style="0" width="23.49"/>
    <col collapsed="false" customWidth="true" hidden="false" outlineLevel="0" max="5" min="5" style="0" width="13.28"/>
    <col collapsed="false" customWidth="true" hidden="false" outlineLevel="0" max="6" min="6" style="0" width="23.49"/>
    <col collapsed="false" customWidth="true" hidden="false" outlineLevel="0" max="7" min="7" style="0" width="9.19"/>
    <col collapsed="false" customWidth="true" hidden="false" outlineLevel="0" max="8" min="8" style="0" width="16.34"/>
    <col collapsed="false" customWidth="true" hidden="false" outlineLevel="0" max="9" min="9" style="0" width="28.6"/>
  </cols>
  <sheetData>
    <row r="1" customFormat="false" ht="12.8" hidden="false" customHeight="false" outlineLevel="0" collapsed="false">
      <c r="A1" s="8" t="s">
        <v>21</v>
      </c>
      <c r="B1" s="8" t="s">
        <v>7</v>
      </c>
      <c r="C1" s="8" t="s">
        <v>73</v>
      </c>
      <c r="D1" s="8" t="s">
        <v>55</v>
      </c>
      <c r="E1" s="8" t="s">
        <v>74</v>
      </c>
      <c r="F1" s="8" t="s">
        <v>36</v>
      </c>
      <c r="G1" s="8" t="s">
        <v>75</v>
      </c>
      <c r="H1" s="8" t="s">
        <v>76</v>
      </c>
      <c r="I1" s="8" t="s">
        <v>77</v>
      </c>
    </row>
    <row r="2" customFormat="false" ht="12.8" hidden="false" customHeight="false" outlineLevel="0" collapsed="false">
      <c r="A2" s="0" t="s">
        <v>23</v>
      </c>
      <c r="B2" s="0" t="s">
        <v>16</v>
      </c>
      <c r="C2" s="0" t="s">
        <v>78</v>
      </c>
      <c r="D2" s="59" t="str">
        <f aca="false">VLOOKUP(C2,Countries!$A$2:$B$11,2,0)</f>
        <v>Egypt</v>
      </c>
      <c r="E2" s="0" t="s">
        <v>47</v>
      </c>
      <c r="F2" s="59" t="str">
        <f aca="false">VLOOKUP(E2,Models!$A$2:$B$13,2,0)</f>
        <v>32-inch Smart TV</v>
      </c>
      <c r="G2" s="9" t="n">
        <v>292</v>
      </c>
      <c r="H2" s="9" t="n">
        <v>1664400</v>
      </c>
      <c r="I2" s="0" t="s">
        <v>79</v>
      </c>
    </row>
    <row r="3" customFormat="false" ht="12.8" hidden="false" customHeight="false" outlineLevel="0" collapsed="false">
      <c r="A3" s="0" t="s">
        <v>23</v>
      </c>
      <c r="B3" s="0" t="s">
        <v>16</v>
      </c>
      <c r="C3" s="0" t="s">
        <v>78</v>
      </c>
      <c r="D3" s="59" t="str">
        <f aca="false">VLOOKUP(C3,Countries!$A$2:$B$11,2,0)</f>
        <v>Egypt</v>
      </c>
      <c r="E3" s="0" t="s">
        <v>45</v>
      </c>
      <c r="F3" s="59" t="str">
        <f aca="false">VLOOKUP(E3,Models!$A$2:$B$13,2,0)</f>
        <v>40-inch Full HD TV</v>
      </c>
      <c r="G3" s="9" t="n">
        <v>200</v>
      </c>
      <c r="H3" s="9" t="n">
        <v>1538000</v>
      </c>
      <c r="I3" s="0" t="s">
        <v>79</v>
      </c>
    </row>
    <row r="4" customFormat="false" ht="12.8" hidden="false" customHeight="false" outlineLevel="0" collapsed="false">
      <c r="A4" s="0" t="s">
        <v>23</v>
      </c>
      <c r="B4" s="0" t="s">
        <v>16</v>
      </c>
      <c r="C4" s="0" t="s">
        <v>78</v>
      </c>
      <c r="D4" s="59" t="str">
        <f aca="false">VLOOKUP(C4,Countries!$A$2:$B$11,2,0)</f>
        <v>Egypt</v>
      </c>
      <c r="E4" s="0" t="s">
        <v>40</v>
      </c>
      <c r="F4" s="59" t="str">
        <f aca="false">VLOOKUP(E4,Models!$A$2:$B$13,2,0)</f>
        <v>65-inch 4K TV</v>
      </c>
      <c r="G4" s="9" t="n">
        <v>30</v>
      </c>
      <c r="H4" s="9" t="n">
        <v>736500</v>
      </c>
      <c r="I4" s="0" t="s">
        <v>79</v>
      </c>
    </row>
    <row r="5" customFormat="false" ht="12.8" hidden="false" customHeight="false" outlineLevel="0" collapsed="false">
      <c r="A5" s="0" t="s">
        <v>23</v>
      </c>
      <c r="B5" s="0" t="s">
        <v>16</v>
      </c>
      <c r="C5" s="0" t="s">
        <v>78</v>
      </c>
      <c r="D5" s="59" t="str">
        <f aca="false">VLOOKUP(C5,Countries!$A$2:$B$11,2,0)</f>
        <v>Egypt</v>
      </c>
      <c r="E5" s="0" t="s">
        <v>40</v>
      </c>
      <c r="F5" s="59" t="str">
        <f aca="false">VLOOKUP(E5,Models!$A$2:$B$13,2,0)</f>
        <v>65-inch 4K TV</v>
      </c>
      <c r="G5" s="9" t="n">
        <v>29</v>
      </c>
      <c r="H5" s="9" t="n">
        <v>711950</v>
      </c>
      <c r="I5" s="0" t="s">
        <v>79</v>
      </c>
    </row>
    <row r="6" customFormat="false" ht="12.8" hidden="false" customHeight="false" outlineLevel="0" collapsed="false">
      <c r="A6" s="0" t="s">
        <v>23</v>
      </c>
      <c r="B6" s="0" t="s">
        <v>16</v>
      </c>
      <c r="C6" s="0" t="s">
        <v>78</v>
      </c>
      <c r="D6" s="59" t="str">
        <f aca="false">VLOOKUP(C6,Countries!$A$2:$B$11,2,0)</f>
        <v>Egypt</v>
      </c>
      <c r="E6" s="0" t="s">
        <v>49</v>
      </c>
      <c r="F6" s="59" t="str">
        <f aca="false">VLOOKUP(E6,Models!$A$2:$B$13,2,0)</f>
        <v>43-inch Smart TV</v>
      </c>
      <c r="G6" s="9" t="n">
        <v>18</v>
      </c>
      <c r="H6" s="9" t="n">
        <v>174060</v>
      </c>
      <c r="I6" s="0" t="s">
        <v>79</v>
      </c>
    </row>
    <row r="7" customFormat="false" ht="12.8" hidden="false" customHeight="false" outlineLevel="0" collapsed="false">
      <c r="A7" s="0" t="s">
        <v>23</v>
      </c>
      <c r="B7" s="0" t="s">
        <v>16</v>
      </c>
      <c r="C7" s="0" t="s">
        <v>78</v>
      </c>
      <c r="D7" s="59" t="str">
        <f aca="false">VLOOKUP(C7,Countries!$A$2:$B$11,2,0)</f>
        <v>Egypt</v>
      </c>
      <c r="E7" s="0" t="s">
        <v>43</v>
      </c>
      <c r="F7" s="59" t="str">
        <f aca="false">VLOOKUP(E7,Models!$A$2:$B$13,2,0)</f>
        <v>32-inch HD TV</v>
      </c>
      <c r="G7" s="9" t="n">
        <v>19</v>
      </c>
      <c r="H7" s="9" t="n">
        <v>91960</v>
      </c>
      <c r="I7" s="0" t="s">
        <v>79</v>
      </c>
    </row>
    <row r="8" customFormat="false" ht="12.8" hidden="false" customHeight="false" outlineLevel="0" collapsed="false">
      <c r="A8" s="0" t="s">
        <v>23</v>
      </c>
      <c r="B8" s="0" t="s">
        <v>16</v>
      </c>
      <c r="C8" s="0" t="s">
        <v>78</v>
      </c>
      <c r="D8" s="59" t="str">
        <f aca="false">VLOOKUP(C8,Countries!$A$2:$B$11,2,0)</f>
        <v>Egypt</v>
      </c>
      <c r="E8" s="0" t="s">
        <v>46</v>
      </c>
      <c r="F8" s="59" t="str">
        <f aca="false">VLOOKUP(E8,Models!$A$2:$B$13,2,0)</f>
        <v>43-inch Full HD TV</v>
      </c>
      <c r="G8" s="9" t="n">
        <v>144</v>
      </c>
      <c r="H8" s="9" t="n">
        <v>1232640</v>
      </c>
      <c r="I8" s="0" t="s">
        <v>79</v>
      </c>
    </row>
    <row r="9" customFormat="false" ht="12.8" hidden="false" customHeight="false" outlineLevel="0" collapsed="false">
      <c r="A9" s="0" t="s">
        <v>23</v>
      </c>
      <c r="B9" s="0" t="s">
        <v>16</v>
      </c>
      <c r="C9" s="0" t="s">
        <v>78</v>
      </c>
      <c r="D9" s="59" t="str">
        <f aca="false">VLOOKUP(C9,Countries!$A$2:$B$11,2,0)</f>
        <v>Egypt</v>
      </c>
      <c r="E9" s="0" t="s">
        <v>43</v>
      </c>
      <c r="F9" s="59" t="str">
        <f aca="false">VLOOKUP(E9,Models!$A$2:$B$13,2,0)</f>
        <v>32-inch HD TV</v>
      </c>
      <c r="G9" s="9" t="n">
        <v>19</v>
      </c>
      <c r="H9" s="9" t="n">
        <v>91960</v>
      </c>
      <c r="I9" s="0" t="s">
        <v>79</v>
      </c>
    </row>
    <row r="10" customFormat="false" ht="12.8" hidden="false" customHeight="false" outlineLevel="0" collapsed="false">
      <c r="A10" s="0" t="s">
        <v>23</v>
      </c>
      <c r="B10" s="0" t="s">
        <v>16</v>
      </c>
      <c r="C10" s="0" t="s">
        <v>78</v>
      </c>
      <c r="D10" s="59" t="str">
        <f aca="false">VLOOKUP(C10,Countries!$A$2:$B$11,2,0)</f>
        <v>Egypt</v>
      </c>
      <c r="E10" s="0" t="s">
        <v>40</v>
      </c>
      <c r="F10" s="59" t="str">
        <f aca="false">VLOOKUP(E10,Models!$A$2:$B$13,2,0)</f>
        <v>65-inch 4K TV</v>
      </c>
      <c r="G10" s="9" t="n">
        <v>29</v>
      </c>
      <c r="H10" s="9" t="n">
        <v>711950</v>
      </c>
      <c r="I10" s="0" t="s">
        <v>79</v>
      </c>
    </row>
    <row r="11" customFormat="false" ht="12.8" hidden="false" customHeight="false" outlineLevel="0" collapsed="false">
      <c r="A11" s="0" t="s">
        <v>23</v>
      </c>
      <c r="B11" s="0" t="s">
        <v>16</v>
      </c>
      <c r="C11" s="0" t="s">
        <v>78</v>
      </c>
      <c r="D11" s="59" t="str">
        <f aca="false">VLOOKUP(C11,Countries!$A$2:$B$11,2,0)</f>
        <v>Egypt</v>
      </c>
      <c r="E11" s="0" t="s">
        <v>44</v>
      </c>
      <c r="F11" s="59" t="str">
        <f aca="false">VLOOKUP(E11,Models!$A$2:$B$13,2,0)</f>
        <v>55-inch 4K TV</v>
      </c>
      <c r="G11" s="9" t="n">
        <v>13</v>
      </c>
      <c r="H11" s="9" t="n">
        <v>198250</v>
      </c>
      <c r="I11" s="0" t="s">
        <v>79</v>
      </c>
    </row>
    <row r="12" customFormat="false" ht="12.8" hidden="false" customHeight="false" outlineLevel="0" collapsed="false">
      <c r="A12" s="0" t="s">
        <v>23</v>
      </c>
      <c r="B12" s="0" t="s">
        <v>16</v>
      </c>
      <c r="C12" s="0" t="s">
        <v>78</v>
      </c>
      <c r="D12" s="59" t="str">
        <f aca="false">VLOOKUP(C12,Countries!$A$2:$B$11,2,0)</f>
        <v>Egypt</v>
      </c>
      <c r="E12" s="0" t="s">
        <v>44</v>
      </c>
      <c r="F12" s="59" t="str">
        <f aca="false">VLOOKUP(E12,Models!$A$2:$B$13,2,0)</f>
        <v>55-inch 4K TV</v>
      </c>
      <c r="G12" s="9" t="n">
        <v>13</v>
      </c>
      <c r="H12" s="9" t="n">
        <v>198250</v>
      </c>
      <c r="I12" s="0" t="s">
        <v>79</v>
      </c>
    </row>
    <row r="13" customFormat="false" ht="12.8" hidden="false" customHeight="false" outlineLevel="0" collapsed="false">
      <c r="A13" s="0" t="s">
        <v>23</v>
      </c>
      <c r="B13" s="0" t="s">
        <v>16</v>
      </c>
      <c r="C13" s="0" t="s">
        <v>78</v>
      </c>
      <c r="D13" s="59" t="str">
        <f aca="false">VLOOKUP(C13,Countries!$A$2:$B$11,2,0)</f>
        <v>Egypt</v>
      </c>
      <c r="E13" s="0" t="s">
        <v>46</v>
      </c>
      <c r="F13" s="59" t="str">
        <f aca="false">VLOOKUP(E13,Models!$A$2:$B$13,2,0)</f>
        <v>43-inch Full HD TV</v>
      </c>
      <c r="G13" s="9" t="n">
        <v>144</v>
      </c>
      <c r="H13" s="9" t="n">
        <v>1232640</v>
      </c>
      <c r="I13" s="0" t="s">
        <v>79</v>
      </c>
    </row>
    <row r="14" customFormat="false" ht="12.8" hidden="false" customHeight="false" outlineLevel="0" collapsed="false">
      <c r="A14" s="0" t="s">
        <v>23</v>
      </c>
      <c r="B14" s="0" t="s">
        <v>16</v>
      </c>
      <c r="C14" s="0" t="s">
        <v>78</v>
      </c>
      <c r="D14" s="59" t="str">
        <f aca="false">VLOOKUP(C14,Countries!$A$2:$B$11,2,0)</f>
        <v>Egypt</v>
      </c>
      <c r="E14" s="0" t="s">
        <v>42</v>
      </c>
      <c r="F14" s="59" t="str">
        <f aca="false">VLOOKUP(E14,Models!$A$2:$B$13,2,0)</f>
        <v>65-inch QLED TV</v>
      </c>
      <c r="G14" s="9" t="n">
        <v>43</v>
      </c>
      <c r="H14" s="9" t="n">
        <v>1306340</v>
      </c>
      <c r="I14" s="0" t="s">
        <v>79</v>
      </c>
    </row>
    <row r="15" customFormat="false" ht="12.8" hidden="false" customHeight="false" outlineLevel="0" collapsed="false">
      <c r="A15" s="0" t="s">
        <v>23</v>
      </c>
      <c r="B15" s="0" t="s">
        <v>16</v>
      </c>
      <c r="C15" s="0" t="s">
        <v>78</v>
      </c>
      <c r="D15" s="59" t="str">
        <f aca="false">VLOOKUP(C15,Countries!$A$2:$B$11,2,0)</f>
        <v>Egypt</v>
      </c>
      <c r="E15" s="0" t="s">
        <v>50</v>
      </c>
      <c r="F15" s="59" t="str">
        <f aca="false">VLOOKUP(E15,Models!$A$2:$B$13,2,0)</f>
        <v>50-inch 4K TV</v>
      </c>
      <c r="G15" s="9" t="n">
        <v>167</v>
      </c>
      <c r="H15" s="9" t="n">
        <v>2154300</v>
      </c>
      <c r="I15" s="0" t="s">
        <v>79</v>
      </c>
    </row>
    <row r="16" customFormat="false" ht="12.8" hidden="false" customHeight="false" outlineLevel="0" collapsed="false">
      <c r="A16" s="0" t="s">
        <v>23</v>
      </c>
      <c r="B16" s="0" t="s">
        <v>16</v>
      </c>
      <c r="C16" s="0" t="s">
        <v>78</v>
      </c>
      <c r="D16" s="59" t="str">
        <f aca="false">VLOOKUP(C16,Countries!$A$2:$B$11,2,0)</f>
        <v>Egypt</v>
      </c>
      <c r="E16" s="0" t="s">
        <v>41</v>
      </c>
      <c r="F16" s="59" t="str">
        <f aca="false">VLOOKUP(E16,Models!$A$2:$B$13,2,0)</f>
        <v>75-inch 4K TV</v>
      </c>
      <c r="G16" s="9" t="n">
        <v>53</v>
      </c>
      <c r="H16" s="9" t="n">
        <v>2050570</v>
      </c>
      <c r="I16" s="0" t="s">
        <v>79</v>
      </c>
    </row>
    <row r="17" customFormat="false" ht="12.8" hidden="false" customHeight="false" outlineLevel="0" collapsed="false">
      <c r="A17" s="0" t="s">
        <v>23</v>
      </c>
      <c r="B17" s="0" t="s">
        <v>16</v>
      </c>
      <c r="C17" s="0" t="s">
        <v>78</v>
      </c>
      <c r="D17" s="59" t="str">
        <f aca="false">VLOOKUP(C17,Countries!$A$2:$B$11,2,0)</f>
        <v>Egypt</v>
      </c>
      <c r="E17" s="0" t="s">
        <v>42</v>
      </c>
      <c r="F17" s="59" t="str">
        <f aca="false">VLOOKUP(E17,Models!$A$2:$B$13,2,0)</f>
        <v>65-inch QLED TV</v>
      </c>
      <c r="G17" s="9" t="n">
        <v>43</v>
      </c>
      <c r="H17" s="9" t="n">
        <v>1306340</v>
      </c>
      <c r="I17" s="0" t="s">
        <v>79</v>
      </c>
    </row>
    <row r="18" customFormat="false" ht="12.8" hidden="false" customHeight="false" outlineLevel="0" collapsed="false">
      <c r="A18" s="0" t="s">
        <v>23</v>
      </c>
      <c r="B18" s="0" t="s">
        <v>16</v>
      </c>
      <c r="C18" s="0" t="s">
        <v>78</v>
      </c>
      <c r="D18" s="59" t="str">
        <f aca="false">VLOOKUP(C18,Countries!$A$2:$B$11,2,0)</f>
        <v>Egypt</v>
      </c>
      <c r="E18" s="0" t="s">
        <v>43</v>
      </c>
      <c r="F18" s="59" t="str">
        <f aca="false">VLOOKUP(E18,Models!$A$2:$B$13,2,0)</f>
        <v>32-inch HD TV</v>
      </c>
      <c r="G18" s="9" t="n">
        <v>19</v>
      </c>
      <c r="H18" s="9" t="n">
        <v>91960</v>
      </c>
      <c r="I18" s="0" t="s">
        <v>79</v>
      </c>
    </row>
    <row r="19" customFormat="false" ht="12.8" hidden="false" customHeight="false" outlineLevel="0" collapsed="false">
      <c r="A19" s="0" t="s">
        <v>23</v>
      </c>
      <c r="B19" s="0" t="s">
        <v>16</v>
      </c>
      <c r="C19" s="0" t="s">
        <v>78</v>
      </c>
      <c r="D19" s="59" t="str">
        <f aca="false">VLOOKUP(C19,Countries!$A$2:$B$11,2,0)</f>
        <v>Egypt</v>
      </c>
      <c r="E19" s="0" t="s">
        <v>46</v>
      </c>
      <c r="F19" s="59" t="str">
        <f aca="false">VLOOKUP(E19,Models!$A$2:$B$13,2,0)</f>
        <v>43-inch Full HD TV</v>
      </c>
      <c r="G19" s="9" t="n">
        <v>144</v>
      </c>
      <c r="H19" s="9" t="n">
        <v>1232640</v>
      </c>
      <c r="I19" s="0" t="s">
        <v>79</v>
      </c>
    </row>
    <row r="20" customFormat="false" ht="12.8" hidden="false" customHeight="false" outlineLevel="0" collapsed="false">
      <c r="A20" s="0" t="s">
        <v>23</v>
      </c>
      <c r="B20" s="0" t="s">
        <v>16</v>
      </c>
      <c r="C20" s="0" t="s">
        <v>78</v>
      </c>
      <c r="D20" s="59" t="str">
        <f aca="false">VLOOKUP(C20,Countries!$A$2:$B$11,2,0)</f>
        <v>Egypt</v>
      </c>
      <c r="E20" s="0" t="s">
        <v>42</v>
      </c>
      <c r="F20" s="59" t="str">
        <f aca="false">VLOOKUP(E20,Models!$A$2:$B$13,2,0)</f>
        <v>65-inch QLED TV</v>
      </c>
      <c r="G20" s="9" t="n">
        <v>43</v>
      </c>
      <c r="H20" s="9" t="n">
        <v>1306340</v>
      </c>
      <c r="I20" s="0" t="s">
        <v>79</v>
      </c>
    </row>
    <row r="21" customFormat="false" ht="12.8" hidden="false" customHeight="false" outlineLevel="0" collapsed="false">
      <c r="A21" s="0" t="s">
        <v>23</v>
      </c>
      <c r="B21" s="0" t="s">
        <v>16</v>
      </c>
      <c r="C21" s="0" t="s">
        <v>78</v>
      </c>
      <c r="D21" s="59" t="str">
        <f aca="false">VLOOKUP(C21,Countries!$A$2:$B$11,2,0)</f>
        <v>Egypt</v>
      </c>
      <c r="E21" s="0" t="s">
        <v>49</v>
      </c>
      <c r="F21" s="59" t="str">
        <f aca="false">VLOOKUP(E21,Models!$A$2:$B$13,2,0)</f>
        <v>43-inch Smart TV</v>
      </c>
      <c r="G21" s="9" t="n">
        <v>19</v>
      </c>
      <c r="H21" s="9" t="n">
        <v>183730</v>
      </c>
      <c r="I21" s="0" t="s">
        <v>79</v>
      </c>
    </row>
    <row r="22" customFormat="false" ht="12.8" hidden="false" customHeight="false" outlineLevel="0" collapsed="false">
      <c r="A22" s="0" t="s">
        <v>23</v>
      </c>
      <c r="B22" s="0" t="s">
        <v>16</v>
      </c>
      <c r="C22" s="0" t="s">
        <v>78</v>
      </c>
      <c r="D22" s="59" t="str">
        <f aca="false">VLOOKUP(C22,Countries!$A$2:$B$11,2,0)</f>
        <v>Egypt</v>
      </c>
      <c r="E22" s="0" t="s">
        <v>49</v>
      </c>
      <c r="F22" s="59" t="str">
        <f aca="false">VLOOKUP(E22,Models!$A$2:$B$13,2,0)</f>
        <v>43-inch Smart TV</v>
      </c>
      <c r="G22" s="9" t="n">
        <v>19</v>
      </c>
      <c r="H22" s="9" t="n">
        <v>183730</v>
      </c>
      <c r="I22" s="0" t="s">
        <v>79</v>
      </c>
    </row>
    <row r="23" customFormat="false" ht="12.8" hidden="false" customHeight="false" outlineLevel="0" collapsed="false">
      <c r="A23" s="0" t="s">
        <v>23</v>
      </c>
      <c r="B23" s="0" t="s">
        <v>16</v>
      </c>
      <c r="C23" s="0" t="s">
        <v>78</v>
      </c>
      <c r="D23" s="59" t="str">
        <f aca="false">VLOOKUP(C23,Countries!$A$2:$B$11,2,0)</f>
        <v>Egypt</v>
      </c>
      <c r="E23" s="0" t="s">
        <v>41</v>
      </c>
      <c r="F23" s="59" t="str">
        <f aca="false">VLOOKUP(E23,Models!$A$2:$B$13,2,0)</f>
        <v>75-inch 4K TV</v>
      </c>
      <c r="G23" s="9" t="n">
        <v>54</v>
      </c>
      <c r="H23" s="9" t="n">
        <v>2089260</v>
      </c>
      <c r="I23" s="0" t="s">
        <v>79</v>
      </c>
    </row>
    <row r="24" customFormat="false" ht="12.8" hidden="false" customHeight="false" outlineLevel="0" collapsed="false">
      <c r="A24" s="0" t="s">
        <v>23</v>
      </c>
      <c r="B24" s="0" t="s">
        <v>16</v>
      </c>
      <c r="C24" s="0" t="s">
        <v>78</v>
      </c>
      <c r="D24" s="59" t="str">
        <f aca="false">VLOOKUP(C24,Countries!$A$2:$B$11,2,0)</f>
        <v>Egypt</v>
      </c>
      <c r="E24" s="0" t="s">
        <v>41</v>
      </c>
      <c r="F24" s="59" t="str">
        <f aca="false">VLOOKUP(E24,Models!$A$2:$B$13,2,0)</f>
        <v>75-inch 4K TV</v>
      </c>
      <c r="G24" s="9" t="n">
        <v>54</v>
      </c>
      <c r="H24" s="9" t="n">
        <v>2089260</v>
      </c>
      <c r="I24" s="0" t="s">
        <v>79</v>
      </c>
    </row>
    <row r="25" customFormat="false" ht="12.8" hidden="false" customHeight="false" outlineLevel="0" collapsed="false">
      <c r="A25" s="0" t="s">
        <v>23</v>
      </c>
      <c r="B25" s="0" t="s">
        <v>16</v>
      </c>
      <c r="C25" s="0" t="s">
        <v>78</v>
      </c>
      <c r="D25" s="59" t="str">
        <f aca="false">VLOOKUP(C25,Countries!$A$2:$B$11,2,0)</f>
        <v>Egypt</v>
      </c>
      <c r="E25" s="0" t="s">
        <v>51</v>
      </c>
      <c r="F25" s="59" t="str">
        <f aca="false">VLOOKUP(E25,Models!$A$2:$B$13,2,0)</f>
        <v>24-inch HD TV</v>
      </c>
      <c r="G25" s="9" t="n">
        <v>137</v>
      </c>
      <c r="H25" s="9" t="n">
        <v>493200</v>
      </c>
      <c r="I25" s="0" t="s">
        <v>79</v>
      </c>
    </row>
    <row r="26" customFormat="false" ht="12.8" hidden="false" customHeight="false" outlineLevel="0" collapsed="false">
      <c r="A26" s="0" t="s">
        <v>25</v>
      </c>
      <c r="B26" s="0" t="s">
        <v>16</v>
      </c>
      <c r="C26" s="0" t="s">
        <v>78</v>
      </c>
      <c r="D26" s="59" t="str">
        <f aca="false">VLOOKUP(C26,Countries!$A$2:$B$11,2,0)</f>
        <v>Egypt</v>
      </c>
      <c r="E26" s="0" t="s">
        <v>48</v>
      </c>
      <c r="F26" s="59" t="str">
        <f aca="false">VLOOKUP(E26,Models!$A$2:$B$13,2,0)</f>
        <v>55-inch QLED TV</v>
      </c>
      <c r="G26" s="9" t="n">
        <v>84</v>
      </c>
      <c r="H26" s="9" t="n">
        <v>1624560</v>
      </c>
      <c r="I26" s="0" t="s">
        <v>79</v>
      </c>
    </row>
    <row r="27" customFormat="false" ht="12.8" hidden="false" customHeight="false" outlineLevel="0" collapsed="false">
      <c r="A27" s="0" t="s">
        <v>25</v>
      </c>
      <c r="B27" s="0" t="s">
        <v>16</v>
      </c>
      <c r="C27" s="0" t="s">
        <v>78</v>
      </c>
      <c r="D27" s="59" t="str">
        <f aca="false">VLOOKUP(C27,Countries!$A$2:$B$11,2,0)</f>
        <v>Egypt</v>
      </c>
      <c r="E27" s="0" t="s">
        <v>50</v>
      </c>
      <c r="F27" s="59" t="str">
        <f aca="false">VLOOKUP(E27,Models!$A$2:$B$13,2,0)</f>
        <v>50-inch 4K TV</v>
      </c>
      <c r="G27" s="9" t="n">
        <v>23</v>
      </c>
      <c r="H27" s="9" t="n">
        <v>296700</v>
      </c>
      <c r="I27" s="0" t="s">
        <v>79</v>
      </c>
    </row>
    <row r="28" customFormat="false" ht="12.8" hidden="false" customHeight="false" outlineLevel="0" collapsed="false">
      <c r="A28" s="0" t="s">
        <v>25</v>
      </c>
      <c r="B28" s="0" t="s">
        <v>16</v>
      </c>
      <c r="C28" s="0" t="s">
        <v>78</v>
      </c>
      <c r="D28" s="59" t="str">
        <f aca="false">VLOOKUP(C28,Countries!$A$2:$B$11,2,0)</f>
        <v>Egypt</v>
      </c>
      <c r="E28" s="0" t="s">
        <v>43</v>
      </c>
      <c r="F28" s="59" t="str">
        <f aca="false">VLOOKUP(E28,Models!$A$2:$B$13,2,0)</f>
        <v>32-inch HD TV</v>
      </c>
      <c r="G28" s="9" t="n">
        <v>256</v>
      </c>
      <c r="H28" s="9" t="n">
        <v>1239040</v>
      </c>
      <c r="I28" s="0" t="s">
        <v>79</v>
      </c>
    </row>
    <row r="29" customFormat="false" ht="12.8" hidden="false" customHeight="false" outlineLevel="0" collapsed="false">
      <c r="A29" s="0" t="s">
        <v>25</v>
      </c>
      <c r="B29" s="0" t="s">
        <v>16</v>
      </c>
      <c r="C29" s="0" t="s">
        <v>78</v>
      </c>
      <c r="D29" s="59" t="str">
        <f aca="false">VLOOKUP(C29,Countries!$A$2:$B$11,2,0)</f>
        <v>Egypt</v>
      </c>
      <c r="E29" s="0" t="s">
        <v>40</v>
      </c>
      <c r="F29" s="59" t="str">
        <f aca="false">VLOOKUP(E29,Models!$A$2:$B$13,2,0)</f>
        <v>65-inch 4K TV</v>
      </c>
      <c r="G29" s="9" t="n">
        <v>73</v>
      </c>
      <c r="H29" s="9" t="n">
        <v>1792150</v>
      </c>
      <c r="I29" s="0" t="s">
        <v>79</v>
      </c>
    </row>
    <row r="30" customFormat="false" ht="12.8" hidden="false" customHeight="false" outlineLevel="0" collapsed="false">
      <c r="A30" s="0" t="s">
        <v>25</v>
      </c>
      <c r="B30" s="0" t="s">
        <v>16</v>
      </c>
      <c r="C30" s="0" t="s">
        <v>78</v>
      </c>
      <c r="D30" s="59" t="str">
        <f aca="false">VLOOKUP(C30,Countries!$A$2:$B$11,2,0)</f>
        <v>Egypt</v>
      </c>
      <c r="E30" s="0" t="s">
        <v>45</v>
      </c>
      <c r="F30" s="59" t="str">
        <f aca="false">VLOOKUP(E30,Models!$A$2:$B$13,2,0)</f>
        <v>40-inch Full HD TV</v>
      </c>
      <c r="G30" s="9" t="n">
        <v>104</v>
      </c>
      <c r="H30" s="9" t="n">
        <v>799760</v>
      </c>
      <c r="I30" s="0" t="s">
        <v>79</v>
      </c>
    </row>
    <row r="31" customFormat="false" ht="12.8" hidden="false" customHeight="false" outlineLevel="0" collapsed="false">
      <c r="A31" s="0" t="s">
        <v>25</v>
      </c>
      <c r="B31" s="0" t="s">
        <v>16</v>
      </c>
      <c r="C31" s="0" t="s">
        <v>78</v>
      </c>
      <c r="D31" s="59" t="str">
        <f aca="false">VLOOKUP(C31,Countries!$A$2:$B$11,2,0)</f>
        <v>Egypt</v>
      </c>
      <c r="E31" s="0" t="s">
        <v>50</v>
      </c>
      <c r="F31" s="59" t="str">
        <f aca="false">VLOOKUP(E31,Models!$A$2:$B$13,2,0)</f>
        <v>50-inch 4K TV</v>
      </c>
      <c r="G31" s="9" t="n">
        <v>24</v>
      </c>
      <c r="H31" s="9" t="n">
        <v>309600</v>
      </c>
      <c r="I31" s="0" t="s">
        <v>79</v>
      </c>
    </row>
    <row r="32" customFormat="false" ht="12.8" hidden="false" customHeight="false" outlineLevel="0" collapsed="false">
      <c r="A32" s="0" t="s">
        <v>25</v>
      </c>
      <c r="B32" s="0" t="s">
        <v>16</v>
      </c>
      <c r="C32" s="0" t="s">
        <v>78</v>
      </c>
      <c r="D32" s="59" t="str">
        <f aca="false">VLOOKUP(C32,Countries!$A$2:$B$11,2,0)</f>
        <v>Egypt</v>
      </c>
      <c r="E32" s="0" t="s">
        <v>46</v>
      </c>
      <c r="F32" s="59" t="str">
        <f aca="false">VLOOKUP(E32,Models!$A$2:$B$13,2,0)</f>
        <v>43-inch Full HD TV</v>
      </c>
      <c r="G32" s="9" t="n">
        <v>145</v>
      </c>
      <c r="H32" s="9" t="n">
        <v>1241200</v>
      </c>
      <c r="I32" s="0" t="s">
        <v>79</v>
      </c>
    </row>
    <row r="33" customFormat="false" ht="12.8" hidden="false" customHeight="false" outlineLevel="0" collapsed="false">
      <c r="A33" s="0" t="s">
        <v>25</v>
      </c>
      <c r="B33" s="0" t="s">
        <v>16</v>
      </c>
      <c r="C33" s="0" t="s">
        <v>78</v>
      </c>
      <c r="D33" s="59" t="str">
        <f aca="false">VLOOKUP(C33,Countries!$A$2:$B$11,2,0)</f>
        <v>Egypt</v>
      </c>
      <c r="E33" s="0" t="s">
        <v>45</v>
      </c>
      <c r="F33" s="59" t="str">
        <f aca="false">VLOOKUP(E33,Models!$A$2:$B$13,2,0)</f>
        <v>40-inch Full HD TV</v>
      </c>
      <c r="G33" s="9" t="n">
        <v>104</v>
      </c>
      <c r="H33" s="9" t="n">
        <v>799760</v>
      </c>
      <c r="I33" s="0" t="s">
        <v>79</v>
      </c>
    </row>
    <row r="34" customFormat="false" ht="12.8" hidden="false" customHeight="false" outlineLevel="0" collapsed="false">
      <c r="A34" s="0" t="s">
        <v>25</v>
      </c>
      <c r="B34" s="0" t="s">
        <v>16</v>
      </c>
      <c r="C34" s="0" t="s">
        <v>78</v>
      </c>
      <c r="D34" s="59" t="str">
        <f aca="false">VLOOKUP(C34,Countries!$A$2:$B$11,2,0)</f>
        <v>Egypt</v>
      </c>
      <c r="E34" s="0" t="s">
        <v>46</v>
      </c>
      <c r="F34" s="59" t="str">
        <f aca="false">VLOOKUP(E34,Models!$A$2:$B$13,2,0)</f>
        <v>43-inch Full HD TV</v>
      </c>
      <c r="G34" s="9" t="n">
        <v>144</v>
      </c>
      <c r="H34" s="9" t="n">
        <v>1232640</v>
      </c>
      <c r="I34" s="0" t="s">
        <v>79</v>
      </c>
    </row>
    <row r="35" customFormat="false" ht="12.8" hidden="false" customHeight="false" outlineLevel="0" collapsed="false">
      <c r="A35" s="0" t="s">
        <v>25</v>
      </c>
      <c r="B35" s="0" t="s">
        <v>16</v>
      </c>
      <c r="C35" s="0" t="s">
        <v>78</v>
      </c>
      <c r="D35" s="59" t="str">
        <f aca="false">VLOOKUP(C35,Countries!$A$2:$B$11,2,0)</f>
        <v>Egypt</v>
      </c>
      <c r="E35" s="0" t="s">
        <v>50</v>
      </c>
      <c r="F35" s="59" t="str">
        <f aca="false">VLOOKUP(E35,Models!$A$2:$B$13,2,0)</f>
        <v>50-inch 4K TV</v>
      </c>
      <c r="G35" s="9" t="n">
        <v>23</v>
      </c>
      <c r="H35" s="9" t="n">
        <v>296700</v>
      </c>
      <c r="I35" s="0" t="s">
        <v>79</v>
      </c>
    </row>
    <row r="36" customFormat="false" ht="12.8" hidden="false" customHeight="false" outlineLevel="0" collapsed="false">
      <c r="A36" s="0" t="s">
        <v>25</v>
      </c>
      <c r="B36" s="0" t="s">
        <v>16</v>
      </c>
      <c r="C36" s="0" t="s">
        <v>78</v>
      </c>
      <c r="D36" s="59" t="str">
        <f aca="false">VLOOKUP(C36,Countries!$A$2:$B$11,2,0)</f>
        <v>Egypt</v>
      </c>
      <c r="E36" s="0" t="s">
        <v>47</v>
      </c>
      <c r="F36" s="59" t="str">
        <f aca="false">VLOOKUP(E36,Models!$A$2:$B$13,2,0)</f>
        <v>32-inch Smart TV</v>
      </c>
      <c r="G36" s="9" t="n">
        <v>98</v>
      </c>
      <c r="H36" s="9" t="n">
        <v>558600</v>
      </c>
      <c r="I36" s="0" t="s">
        <v>79</v>
      </c>
    </row>
    <row r="37" customFormat="false" ht="12.8" hidden="false" customHeight="false" outlineLevel="0" collapsed="false">
      <c r="A37" s="0" t="s">
        <v>25</v>
      </c>
      <c r="B37" s="0" t="s">
        <v>16</v>
      </c>
      <c r="C37" s="0" t="s">
        <v>78</v>
      </c>
      <c r="D37" s="59" t="str">
        <f aca="false">VLOOKUP(C37,Countries!$A$2:$B$11,2,0)</f>
        <v>Egypt</v>
      </c>
      <c r="E37" s="0" t="s">
        <v>44</v>
      </c>
      <c r="F37" s="59" t="str">
        <f aca="false">VLOOKUP(E37,Models!$A$2:$B$13,2,0)</f>
        <v>55-inch 4K TV</v>
      </c>
      <c r="G37" s="9" t="n">
        <v>67</v>
      </c>
      <c r="H37" s="9" t="n">
        <v>1021750</v>
      </c>
      <c r="I37" s="0" t="s">
        <v>79</v>
      </c>
    </row>
    <row r="38" customFormat="false" ht="12.8" hidden="false" customHeight="false" outlineLevel="0" collapsed="false">
      <c r="A38" s="0" t="s">
        <v>25</v>
      </c>
      <c r="B38" s="0" t="s">
        <v>16</v>
      </c>
      <c r="C38" s="0" t="s">
        <v>78</v>
      </c>
      <c r="D38" s="59" t="str">
        <f aca="false">VLOOKUP(C38,Countries!$A$2:$B$11,2,0)</f>
        <v>Egypt</v>
      </c>
      <c r="E38" s="0" t="s">
        <v>51</v>
      </c>
      <c r="F38" s="59" t="str">
        <f aca="false">VLOOKUP(E38,Models!$A$2:$B$13,2,0)</f>
        <v>24-inch HD TV</v>
      </c>
      <c r="G38" s="9" t="n">
        <v>84</v>
      </c>
      <c r="H38" s="9" t="n">
        <v>302400</v>
      </c>
      <c r="I38" s="0" t="s">
        <v>79</v>
      </c>
    </row>
    <row r="39" customFormat="false" ht="12.8" hidden="false" customHeight="false" outlineLevel="0" collapsed="false">
      <c r="A39" s="0" t="s">
        <v>25</v>
      </c>
      <c r="B39" s="0" t="s">
        <v>16</v>
      </c>
      <c r="C39" s="0" t="s">
        <v>78</v>
      </c>
      <c r="D39" s="59" t="str">
        <f aca="false">VLOOKUP(C39,Countries!$A$2:$B$11,2,0)</f>
        <v>Egypt</v>
      </c>
      <c r="E39" s="0" t="s">
        <v>45</v>
      </c>
      <c r="F39" s="59" t="str">
        <f aca="false">VLOOKUP(E39,Models!$A$2:$B$13,2,0)</f>
        <v>40-inch Full HD TV</v>
      </c>
      <c r="G39" s="9" t="n">
        <v>103</v>
      </c>
      <c r="H39" s="9" t="n">
        <v>792070</v>
      </c>
      <c r="I39" s="0" t="s">
        <v>79</v>
      </c>
    </row>
    <row r="40" customFormat="false" ht="12.8" hidden="false" customHeight="false" outlineLevel="0" collapsed="false">
      <c r="A40" s="0" t="s">
        <v>25</v>
      </c>
      <c r="B40" s="0" t="s">
        <v>16</v>
      </c>
      <c r="C40" s="0" t="s">
        <v>78</v>
      </c>
      <c r="D40" s="59" t="str">
        <f aca="false">VLOOKUP(C40,Countries!$A$2:$B$11,2,0)</f>
        <v>Egypt</v>
      </c>
      <c r="E40" s="0" t="s">
        <v>44</v>
      </c>
      <c r="F40" s="59" t="str">
        <f aca="false">VLOOKUP(E40,Models!$A$2:$B$13,2,0)</f>
        <v>55-inch 4K TV</v>
      </c>
      <c r="G40" s="9" t="n">
        <v>67</v>
      </c>
      <c r="H40" s="9" t="n">
        <v>1021750</v>
      </c>
      <c r="I40" s="0" t="s">
        <v>79</v>
      </c>
    </row>
    <row r="41" customFormat="false" ht="12.8" hidden="false" customHeight="false" outlineLevel="0" collapsed="false">
      <c r="A41" s="0" t="s">
        <v>25</v>
      </c>
      <c r="B41" s="0" t="s">
        <v>16</v>
      </c>
      <c r="C41" s="0" t="s">
        <v>78</v>
      </c>
      <c r="D41" s="59" t="str">
        <f aca="false">VLOOKUP(C41,Countries!$A$2:$B$11,2,0)</f>
        <v>Egypt</v>
      </c>
      <c r="E41" s="0" t="s">
        <v>46</v>
      </c>
      <c r="F41" s="59" t="str">
        <f aca="false">VLOOKUP(E41,Models!$A$2:$B$13,2,0)</f>
        <v>43-inch Full HD TV</v>
      </c>
      <c r="G41" s="9" t="n">
        <v>145</v>
      </c>
      <c r="H41" s="9" t="n">
        <v>1241200</v>
      </c>
      <c r="I41" s="0" t="s">
        <v>79</v>
      </c>
    </row>
    <row r="42" customFormat="false" ht="12.8" hidden="false" customHeight="false" outlineLevel="0" collapsed="false">
      <c r="A42" s="0" t="s">
        <v>25</v>
      </c>
      <c r="B42" s="0" t="s">
        <v>16</v>
      </c>
      <c r="C42" s="0" t="s">
        <v>78</v>
      </c>
      <c r="D42" s="59" t="str">
        <f aca="false">VLOOKUP(C42,Countries!$A$2:$B$11,2,0)</f>
        <v>Egypt</v>
      </c>
      <c r="E42" s="0" t="s">
        <v>47</v>
      </c>
      <c r="F42" s="59" t="str">
        <f aca="false">VLOOKUP(E42,Models!$A$2:$B$13,2,0)</f>
        <v>32-inch Smart TV</v>
      </c>
      <c r="G42" s="9" t="n">
        <v>98</v>
      </c>
      <c r="H42" s="9" t="n">
        <v>558600</v>
      </c>
      <c r="I42" s="0" t="s">
        <v>79</v>
      </c>
    </row>
    <row r="43" customFormat="false" ht="12.8" hidden="false" customHeight="false" outlineLevel="0" collapsed="false">
      <c r="A43" s="0" t="s">
        <v>25</v>
      </c>
      <c r="B43" s="0" t="s">
        <v>16</v>
      </c>
      <c r="C43" s="0" t="s">
        <v>78</v>
      </c>
      <c r="D43" s="59" t="str">
        <f aca="false">VLOOKUP(C43,Countries!$A$2:$B$11,2,0)</f>
        <v>Egypt</v>
      </c>
      <c r="E43" s="0" t="s">
        <v>40</v>
      </c>
      <c r="F43" s="59" t="str">
        <f aca="false">VLOOKUP(E43,Models!$A$2:$B$13,2,0)</f>
        <v>65-inch 4K TV</v>
      </c>
      <c r="G43" s="9" t="n">
        <v>74</v>
      </c>
      <c r="H43" s="9" t="n">
        <v>1816700</v>
      </c>
      <c r="I43" s="0" t="s">
        <v>79</v>
      </c>
    </row>
    <row r="44" customFormat="false" ht="12.8" hidden="false" customHeight="false" outlineLevel="0" collapsed="false">
      <c r="A44" s="0" t="s">
        <v>25</v>
      </c>
      <c r="B44" s="0" t="s">
        <v>16</v>
      </c>
      <c r="C44" s="0" t="s">
        <v>78</v>
      </c>
      <c r="D44" s="59" t="str">
        <f aca="false">VLOOKUP(C44,Countries!$A$2:$B$11,2,0)</f>
        <v>Egypt</v>
      </c>
      <c r="E44" s="0" t="s">
        <v>44</v>
      </c>
      <c r="F44" s="59" t="str">
        <f aca="false">VLOOKUP(E44,Models!$A$2:$B$13,2,0)</f>
        <v>55-inch 4K TV</v>
      </c>
      <c r="G44" s="9" t="n">
        <v>67</v>
      </c>
      <c r="H44" s="9" t="n">
        <v>1021750</v>
      </c>
      <c r="I44" s="0" t="s">
        <v>79</v>
      </c>
    </row>
    <row r="45" customFormat="false" ht="12.8" hidden="false" customHeight="false" outlineLevel="0" collapsed="false">
      <c r="A45" s="0" t="s">
        <v>25</v>
      </c>
      <c r="B45" s="0" t="s">
        <v>16</v>
      </c>
      <c r="C45" s="0" t="s">
        <v>78</v>
      </c>
      <c r="D45" s="59" t="str">
        <f aca="false">VLOOKUP(C45,Countries!$A$2:$B$11,2,0)</f>
        <v>Egypt</v>
      </c>
      <c r="E45" s="0" t="s">
        <v>47</v>
      </c>
      <c r="F45" s="59" t="str">
        <f aca="false">VLOOKUP(E45,Models!$A$2:$B$13,2,0)</f>
        <v>32-inch Smart TV</v>
      </c>
      <c r="G45" s="9" t="n">
        <v>98</v>
      </c>
      <c r="H45" s="9" t="n">
        <v>558600</v>
      </c>
      <c r="I45" s="0" t="s">
        <v>79</v>
      </c>
    </row>
    <row r="46" customFormat="false" ht="12.8" hidden="false" customHeight="false" outlineLevel="0" collapsed="false">
      <c r="A46" s="0" t="s">
        <v>25</v>
      </c>
      <c r="B46" s="0" t="s">
        <v>16</v>
      </c>
      <c r="C46" s="0" t="s">
        <v>78</v>
      </c>
      <c r="D46" s="59" t="str">
        <f aca="false">VLOOKUP(C46,Countries!$A$2:$B$11,2,0)</f>
        <v>Egypt</v>
      </c>
      <c r="E46" s="0" t="s">
        <v>48</v>
      </c>
      <c r="F46" s="59" t="str">
        <f aca="false">VLOOKUP(E46,Models!$A$2:$B$13,2,0)</f>
        <v>55-inch QLED TV</v>
      </c>
      <c r="G46" s="9" t="n">
        <v>84</v>
      </c>
      <c r="H46" s="9" t="n">
        <v>1624560</v>
      </c>
      <c r="I46" s="0" t="s">
        <v>79</v>
      </c>
    </row>
    <row r="47" customFormat="false" ht="12.8" hidden="false" customHeight="false" outlineLevel="0" collapsed="false">
      <c r="A47" s="0" t="s">
        <v>25</v>
      </c>
      <c r="B47" s="0" t="s">
        <v>16</v>
      </c>
      <c r="C47" s="0" t="s">
        <v>78</v>
      </c>
      <c r="D47" s="59" t="str">
        <f aca="false">VLOOKUP(C47,Countries!$A$2:$B$11,2,0)</f>
        <v>Egypt</v>
      </c>
      <c r="E47" s="0" t="s">
        <v>42</v>
      </c>
      <c r="F47" s="59" t="str">
        <f aca="false">VLOOKUP(E47,Models!$A$2:$B$13,2,0)</f>
        <v>65-inch QLED TV</v>
      </c>
      <c r="G47" s="9" t="n">
        <v>121</v>
      </c>
      <c r="H47" s="9" t="n">
        <v>3675980</v>
      </c>
      <c r="I47" s="0" t="s">
        <v>79</v>
      </c>
    </row>
    <row r="48" customFormat="false" ht="12.8" hidden="false" customHeight="false" outlineLevel="0" collapsed="false">
      <c r="A48" s="0" t="s">
        <v>25</v>
      </c>
      <c r="B48" s="0" t="s">
        <v>16</v>
      </c>
      <c r="C48" s="0" t="s">
        <v>78</v>
      </c>
      <c r="D48" s="59" t="str">
        <f aca="false">VLOOKUP(C48,Countries!$A$2:$B$11,2,0)</f>
        <v>Egypt</v>
      </c>
      <c r="E48" s="0" t="s">
        <v>41</v>
      </c>
      <c r="F48" s="59" t="str">
        <f aca="false">VLOOKUP(E48,Models!$A$2:$B$13,2,0)</f>
        <v>75-inch 4K TV</v>
      </c>
      <c r="G48" s="9" t="n">
        <v>73</v>
      </c>
      <c r="H48" s="9" t="n">
        <v>2824370</v>
      </c>
      <c r="I48" s="0" t="s">
        <v>79</v>
      </c>
    </row>
    <row r="49" customFormat="false" ht="12.8" hidden="false" customHeight="false" outlineLevel="0" collapsed="false">
      <c r="A49" s="0" t="s">
        <v>27</v>
      </c>
      <c r="B49" s="0" t="s">
        <v>16</v>
      </c>
      <c r="C49" s="0" t="s">
        <v>78</v>
      </c>
      <c r="D49" s="59" t="str">
        <f aca="false">VLOOKUP(C49,Countries!$A$2:$B$11,2,0)</f>
        <v>Egypt</v>
      </c>
      <c r="E49" s="0" t="s">
        <v>51</v>
      </c>
      <c r="F49" s="59" t="str">
        <f aca="false">VLOOKUP(E49,Models!$A$2:$B$13,2,0)</f>
        <v>24-inch HD TV</v>
      </c>
      <c r="G49" s="9" t="n">
        <v>20</v>
      </c>
      <c r="H49" s="9" t="n">
        <v>72000</v>
      </c>
      <c r="I49" s="0" t="s">
        <v>79</v>
      </c>
    </row>
    <row r="50" customFormat="false" ht="12.8" hidden="false" customHeight="false" outlineLevel="0" collapsed="false">
      <c r="A50" s="0" t="s">
        <v>27</v>
      </c>
      <c r="B50" s="0" t="s">
        <v>16</v>
      </c>
      <c r="C50" s="0" t="s">
        <v>78</v>
      </c>
      <c r="D50" s="59" t="str">
        <f aca="false">VLOOKUP(C50,Countries!$A$2:$B$11,2,0)</f>
        <v>Egypt</v>
      </c>
      <c r="E50" s="0" t="s">
        <v>50</v>
      </c>
      <c r="F50" s="59" t="str">
        <f aca="false">VLOOKUP(E50,Models!$A$2:$B$13,2,0)</f>
        <v>50-inch 4K TV</v>
      </c>
      <c r="G50" s="9" t="n">
        <v>83</v>
      </c>
      <c r="H50" s="9" t="n">
        <v>1070700</v>
      </c>
      <c r="I50" s="0" t="s">
        <v>79</v>
      </c>
    </row>
    <row r="51" customFormat="false" ht="12.8" hidden="false" customHeight="false" outlineLevel="0" collapsed="false">
      <c r="A51" s="0" t="s">
        <v>27</v>
      </c>
      <c r="B51" s="0" t="s">
        <v>16</v>
      </c>
      <c r="C51" s="0" t="s">
        <v>78</v>
      </c>
      <c r="D51" s="59" t="str">
        <f aca="false">VLOOKUP(C51,Countries!$A$2:$B$11,2,0)</f>
        <v>Egypt</v>
      </c>
      <c r="E51" s="0" t="s">
        <v>42</v>
      </c>
      <c r="F51" s="59" t="str">
        <f aca="false">VLOOKUP(E51,Models!$A$2:$B$13,2,0)</f>
        <v>65-inch QLED TV</v>
      </c>
      <c r="G51" s="9" t="n">
        <v>89</v>
      </c>
      <c r="H51" s="9" t="n">
        <v>2703820</v>
      </c>
      <c r="I51" s="0" t="s">
        <v>79</v>
      </c>
    </row>
    <row r="52" customFormat="false" ht="12.8" hidden="false" customHeight="false" outlineLevel="0" collapsed="false">
      <c r="A52" s="0" t="s">
        <v>27</v>
      </c>
      <c r="B52" s="0" t="s">
        <v>16</v>
      </c>
      <c r="C52" s="0" t="s">
        <v>78</v>
      </c>
      <c r="D52" s="59" t="str">
        <f aca="false">VLOOKUP(C52,Countries!$A$2:$B$11,2,0)</f>
        <v>Egypt</v>
      </c>
      <c r="E52" s="0" t="s">
        <v>43</v>
      </c>
      <c r="F52" s="59" t="str">
        <f aca="false">VLOOKUP(E52,Models!$A$2:$B$13,2,0)</f>
        <v>32-inch HD TV</v>
      </c>
      <c r="G52" s="9" t="n">
        <v>179</v>
      </c>
      <c r="H52" s="9" t="n">
        <v>866360</v>
      </c>
      <c r="I52" s="0" t="s">
        <v>79</v>
      </c>
    </row>
    <row r="53" customFormat="false" ht="12.8" hidden="false" customHeight="false" outlineLevel="0" collapsed="false">
      <c r="A53" s="0" t="s">
        <v>27</v>
      </c>
      <c r="B53" s="0" t="s">
        <v>16</v>
      </c>
      <c r="C53" s="0" t="s">
        <v>78</v>
      </c>
      <c r="D53" s="59" t="str">
        <f aca="false">VLOOKUP(C53,Countries!$A$2:$B$11,2,0)</f>
        <v>Egypt</v>
      </c>
      <c r="E53" s="0" t="s">
        <v>50</v>
      </c>
      <c r="F53" s="59" t="str">
        <f aca="false">VLOOKUP(E53,Models!$A$2:$B$13,2,0)</f>
        <v>50-inch 4K TV</v>
      </c>
      <c r="G53" s="9" t="n">
        <v>82</v>
      </c>
      <c r="H53" s="9" t="n">
        <v>1057800</v>
      </c>
      <c r="I53" s="0" t="s">
        <v>79</v>
      </c>
    </row>
    <row r="54" customFormat="false" ht="12.8" hidden="false" customHeight="false" outlineLevel="0" collapsed="false">
      <c r="A54" s="0" t="s">
        <v>27</v>
      </c>
      <c r="B54" s="0" t="s">
        <v>16</v>
      </c>
      <c r="C54" s="0" t="s">
        <v>78</v>
      </c>
      <c r="D54" s="59" t="str">
        <f aca="false">VLOOKUP(C54,Countries!$A$2:$B$11,2,0)</f>
        <v>Egypt</v>
      </c>
      <c r="E54" s="0" t="s">
        <v>45</v>
      </c>
      <c r="F54" s="59" t="str">
        <f aca="false">VLOOKUP(E54,Models!$A$2:$B$13,2,0)</f>
        <v>40-inch Full HD TV</v>
      </c>
      <c r="G54" s="9" t="n">
        <v>76</v>
      </c>
      <c r="H54" s="9" t="n">
        <v>584440</v>
      </c>
      <c r="I54" s="0" t="s">
        <v>79</v>
      </c>
    </row>
    <row r="55" customFormat="false" ht="12.8" hidden="false" customHeight="false" outlineLevel="0" collapsed="false">
      <c r="A55" s="0" t="s">
        <v>27</v>
      </c>
      <c r="B55" s="0" t="s">
        <v>16</v>
      </c>
      <c r="C55" s="0" t="s">
        <v>78</v>
      </c>
      <c r="D55" s="59" t="str">
        <f aca="false">VLOOKUP(C55,Countries!$A$2:$B$11,2,0)</f>
        <v>Egypt</v>
      </c>
      <c r="E55" s="0" t="s">
        <v>50</v>
      </c>
      <c r="F55" s="59" t="str">
        <f aca="false">VLOOKUP(E55,Models!$A$2:$B$13,2,0)</f>
        <v>50-inch 4K TV</v>
      </c>
      <c r="G55" s="9" t="n">
        <v>82</v>
      </c>
      <c r="H55" s="9" t="n">
        <v>1057800</v>
      </c>
      <c r="I55" s="0" t="s">
        <v>79</v>
      </c>
    </row>
    <row r="56" customFormat="false" ht="12.8" hidden="false" customHeight="false" outlineLevel="0" collapsed="false">
      <c r="A56" s="0" t="s">
        <v>27</v>
      </c>
      <c r="B56" s="0" t="s">
        <v>16</v>
      </c>
      <c r="C56" s="0" t="s">
        <v>78</v>
      </c>
      <c r="D56" s="59" t="str">
        <f aca="false">VLOOKUP(C56,Countries!$A$2:$B$11,2,0)</f>
        <v>Egypt</v>
      </c>
      <c r="E56" s="0" t="s">
        <v>49</v>
      </c>
      <c r="F56" s="59" t="str">
        <f aca="false">VLOOKUP(E56,Models!$A$2:$B$13,2,0)</f>
        <v>43-inch Smart TV</v>
      </c>
      <c r="G56" s="9" t="n">
        <v>204</v>
      </c>
      <c r="H56" s="9" t="n">
        <v>1972680</v>
      </c>
      <c r="I56" s="0" t="s">
        <v>79</v>
      </c>
    </row>
    <row r="57" customFormat="false" ht="12.8" hidden="false" customHeight="false" outlineLevel="0" collapsed="false">
      <c r="A57" s="0" t="s">
        <v>27</v>
      </c>
      <c r="B57" s="0" t="s">
        <v>16</v>
      </c>
      <c r="C57" s="0" t="s">
        <v>78</v>
      </c>
      <c r="D57" s="59" t="str">
        <f aca="false">VLOOKUP(C57,Countries!$A$2:$B$11,2,0)</f>
        <v>Egypt</v>
      </c>
      <c r="E57" s="0" t="s">
        <v>45</v>
      </c>
      <c r="F57" s="59" t="str">
        <f aca="false">VLOOKUP(E57,Models!$A$2:$B$13,2,0)</f>
        <v>40-inch Full HD TV</v>
      </c>
      <c r="G57" s="9" t="n">
        <v>76</v>
      </c>
      <c r="H57" s="9" t="n">
        <v>584440</v>
      </c>
      <c r="I57" s="0" t="s">
        <v>79</v>
      </c>
    </row>
    <row r="58" customFormat="false" ht="12.8" hidden="false" customHeight="false" outlineLevel="0" collapsed="false">
      <c r="A58" s="0" t="s">
        <v>27</v>
      </c>
      <c r="B58" s="0" t="s">
        <v>16</v>
      </c>
      <c r="C58" s="0" t="s">
        <v>78</v>
      </c>
      <c r="D58" s="59" t="str">
        <f aca="false">VLOOKUP(C58,Countries!$A$2:$B$11,2,0)</f>
        <v>Egypt</v>
      </c>
      <c r="E58" s="0" t="s">
        <v>45</v>
      </c>
      <c r="F58" s="59" t="str">
        <f aca="false">VLOOKUP(E58,Models!$A$2:$B$13,2,0)</f>
        <v>40-inch Full HD TV</v>
      </c>
      <c r="G58" s="9" t="n">
        <v>76</v>
      </c>
      <c r="H58" s="9" t="n">
        <v>584440</v>
      </c>
      <c r="I58" s="0" t="s">
        <v>79</v>
      </c>
    </row>
    <row r="59" customFormat="false" ht="12.8" hidden="false" customHeight="false" outlineLevel="0" collapsed="false">
      <c r="A59" s="0" t="s">
        <v>27</v>
      </c>
      <c r="B59" s="0" t="s">
        <v>16</v>
      </c>
      <c r="C59" s="0" t="s">
        <v>78</v>
      </c>
      <c r="D59" s="59" t="str">
        <f aca="false">VLOOKUP(C59,Countries!$A$2:$B$11,2,0)</f>
        <v>Egypt</v>
      </c>
      <c r="E59" s="0" t="s">
        <v>44</v>
      </c>
      <c r="F59" s="59" t="str">
        <f aca="false">VLOOKUP(E59,Models!$A$2:$B$13,2,0)</f>
        <v>55-inch 4K TV</v>
      </c>
      <c r="G59" s="9" t="n">
        <v>124</v>
      </c>
      <c r="H59" s="9" t="n">
        <v>1891000</v>
      </c>
      <c r="I59" s="0" t="s">
        <v>79</v>
      </c>
    </row>
    <row r="60" customFormat="false" ht="12.8" hidden="false" customHeight="false" outlineLevel="0" collapsed="false">
      <c r="A60" s="0" t="s">
        <v>27</v>
      </c>
      <c r="B60" s="0" t="s">
        <v>16</v>
      </c>
      <c r="C60" s="0" t="s">
        <v>78</v>
      </c>
      <c r="D60" s="59" t="str">
        <f aca="false">VLOOKUP(C60,Countries!$A$2:$B$11,2,0)</f>
        <v>Egypt</v>
      </c>
      <c r="E60" s="0" t="s">
        <v>40</v>
      </c>
      <c r="F60" s="59" t="str">
        <f aca="false">VLOOKUP(E60,Models!$A$2:$B$13,2,0)</f>
        <v>65-inch 4K TV</v>
      </c>
      <c r="G60" s="9" t="n">
        <v>7</v>
      </c>
      <c r="H60" s="9" t="n">
        <v>171850</v>
      </c>
      <c r="I60" s="0" t="s">
        <v>79</v>
      </c>
    </row>
    <row r="61" customFormat="false" ht="12.8" hidden="false" customHeight="false" outlineLevel="0" collapsed="false">
      <c r="A61" s="0" t="s">
        <v>27</v>
      </c>
      <c r="B61" s="0" t="s">
        <v>16</v>
      </c>
      <c r="C61" s="0" t="s">
        <v>78</v>
      </c>
      <c r="D61" s="59" t="str">
        <f aca="false">VLOOKUP(C61,Countries!$A$2:$B$11,2,0)</f>
        <v>Egypt</v>
      </c>
      <c r="E61" s="0" t="s">
        <v>40</v>
      </c>
      <c r="F61" s="59" t="str">
        <f aca="false">VLOOKUP(E61,Models!$A$2:$B$13,2,0)</f>
        <v>65-inch 4K TV</v>
      </c>
      <c r="G61" s="9" t="n">
        <v>7</v>
      </c>
      <c r="H61" s="9" t="n">
        <v>171850</v>
      </c>
      <c r="I61" s="0" t="s">
        <v>79</v>
      </c>
    </row>
    <row r="62" customFormat="false" ht="12.8" hidden="false" customHeight="false" outlineLevel="0" collapsed="false">
      <c r="A62" s="0" t="s">
        <v>27</v>
      </c>
      <c r="B62" s="0" t="s">
        <v>16</v>
      </c>
      <c r="C62" s="0" t="s">
        <v>78</v>
      </c>
      <c r="D62" s="59" t="str">
        <f aca="false">VLOOKUP(C62,Countries!$A$2:$B$11,2,0)</f>
        <v>Egypt</v>
      </c>
      <c r="E62" s="0" t="s">
        <v>48</v>
      </c>
      <c r="F62" s="59" t="str">
        <f aca="false">VLOOKUP(E62,Models!$A$2:$B$13,2,0)</f>
        <v>55-inch QLED TV</v>
      </c>
      <c r="G62" s="9" t="n">
        <v>17</v>
      </c>
      <c r="H62" s="9" t="n">
        <v>328780</v>
      </c>
      <c r="I62" s="0" t="s">
        <v>79</v>
      </c>
    </row>
    <row r="63" customFormat="false" ht="12.8" hidden="false" customHeight="false" outlineLevel="0" collapsed="false">
      <c r="A63" s="0" t="s">
        <v>27</v>
      </c>
      <c r="B63" s="0" t="s">
        <v>16</v>
      </c>
      <c r="C63" s="0" t="s">
        <v>78</v>
      </c>
      <c r="D63" s="59" t="str">
        <f aca="false">VLOOKUP(C63,Countries!$A$2:$B$11,2,0)</f>
        <v>Egypt</v>
      </c>
      <c r="E63" s="0" t="s">
        <v>44</v>
      </c>
      <c r="F63" s="59" t="str">
        <f aca="false">VLOOKUP(E63,Models!$A$2:$B$13,2,0)</f>
        <v>55-inch 4K TV</v>
      </c>
      <c r="G63" s="9" t="n">
        <v>123</v>
      </c>
      <c r="H63" s="9" t="n">
        <v>1875750</v>
      </c>
      <c r="I63" s="0" t="s">
        <v>79</v>
      </c>
    </row>
    <row r="64" customFormat="false" ht="12.8" hidden="false" customHeight="false" outlineLevel="0" collapsed="false">
      <c r="A64" s="0" t="s">
        <v>27</v>
      </c>
      <c r="B64" s="0" t="s">
        <v>16</v>
      </c>
      <c r="C64" s="0" t="s">
        <v>78</v>
      </c>
      <c r="D64" s="59" t="str">
        <f aca="false">VLOOKUP(C64,Countries!$A$2:$B$11,2,0)</f>
        <v>Egypt</v>
      </c>
      <c r="E64" s="0" t="s">
        <v>43</v>
      </c>
      <c r="F64" s="59" t="str">
        <f aca="false">VLOOKUP(E64,Models!$A$2:$B$13,2,0)</f>
        <v>32-inch HD TV</v>
      </c>
      <c r="G64" s="9" t="n">
        <v>179</v>
      </c>
      <c r="H64" s="9" t="n">
        <v>866360</v>
      </c>
      <c r="I64" s="0" t="s">
        <v>79</v>
      </c>
    </row>
    <row r="65" customFormat="false" ht="12.8" hidden="false" customHeight="false" outlineLevel="0" collapsed="false">
      <c r="A65" s="0" t="s">
        <v>27</v>
      </c>
      <c r="B65" s="0" t="s">
        <v>16</v>
      </c>
      <c r="C65" s="0" t="s">
        <v>78</v>
      </c>
      <c r="D65" s="59" t="str">
        <f aca="false">VLOOKUP(C65,Countries!$A$2:$B$11,2,0)</f>
        <v>Egypt</v>
      </c>
      <c r="E65" s="0" t="s">
        <v>49</v>
      </c>
      <c r="F65" s="59" t="str">
        <f aca="false">VLOOKUP(E65,Models!$A$2:$B$13,2,0)</f>
        <v>43-inch Smart TV</v>
      </c>
      <c r="G65" s="9" t="n">
        <v>205</v>
      </c>
      <c r="H65" s="9" t="n">
        <v>1982350</v>
      </c>
      <c r="I65" s="0" t="s">
        <v>79</v>
      </c>
    </row>
    <row r="66" customFormat="false" ht="12.8" hidden="false" customHeight="false" outlineLevel="0" collapsed="false">
      <c r="A66" s="0" t="s">
        <v>27</v>
      </c>
      <c r="B66" s="0" t="s">
        <v>16</v>
      </c>
      <c r="C66" s="0" t="s">
        <v>78</v>
      </c>
      <c r="D66" s="59" t="str">
        <f aca="false">VLOOKUP(C66,Countries!$A$2:$B$11,2,0)</f>
        <v>Egypt</v>
      </c>
      <c r="E66" s="0" t="s">
        <v>51</v>
      </c>
      <c r="F66" s="59" t="str">
        <f aca="false">VLOOKUP(E66,Models!$A$2:$B$13,2,0)</f>
        <v>24-inch HD TV</v>
      </c>
      <c r="G66" s="9" t="n">
        <v>20</v>
      </c>
      <c r="H66" s="9" t="n">
        <v>72000</v>
      </c>
      <c r="I66" s="0" t="s">
        <v>79</v>
      </c>
    </row>
    <row r="67" customFormat="false" ht="12.8" hidden="false" customHeight="false" outlineLevel="0" collapsed="false">
      <c r="A67" s="0" t="s">
        <v>27</v>
      </c>
      <c r="B67" s="0" t="s">
        <v>16</v>
      </c>
      <c r="C67" s="0" t="s">
        <v>78</v>
      </c>
      <c r="D67" s="59" t="str">
        <f aca="false">VLOOKUP(C67,Countries!$A$2:$B$11,2,0)</f>
        <v>Egypt</v>
      </c>
      <c r="E67" s="0" t="s">
        <v>49</v>
      </c>
      <c r="F67" s="59" t="str">
        <f aca="false">VLOOKUP(E67,Models!$A$2:$B$13,2,0)</f>
        <v>43-inch Smart TV</v>
      </c>
      <c r="G67" s="9" t="n">
        <v>204</v>
      </c>
      <c r="H67" s="9" t="n">
        <v>1972680</v>
      </c>
      <c r="I67" s="0" t="s">
        <v>79</v>
      </c>
    </row>
    <row r="68" customFormat="false" ht="12.8" hidden="false" customHeight="false" outlineLevel="0" collapsed="false">
      <c r="A68" s="0" t="s">
        <v>27</v>
      </c>
      <c r="B68" s="0" t="s">
        <v>16</v>
      </c>
      <c r="C68" s="0" t="s">
        <v>78</v>
      </c>
      <c r="D68" s="59" t="str">
        <f aca="false">VLOOKUP(C68,Countries!$A$2:$B$11,2,0)</f>
        <v>Egypt</v>
      </c>
      <c r="E68" s="0" t="s">
        <v>51</v>
      </c>
      <c r="F68" s="59" t="str">
        <f aca="false">VLOOKUP(E68,Models!$A$2:$B$13,2,0)</f>
        <v>24-inch HD TV</v>
      </c>
      <c r="G68" s="9" t="n">
        <v>21</v>
      </c>
      <c r="H68" s="9" t="n">
        <v>75600</v>
      </c>
      <c r="I68" s="0" t="s">
        <v>79</v>
      </c>
    </row>
    <row r="69" customFormat="false" ht="12.8" hidden="false" customHeight="false" outlineLevel="0" collapsed="false">
      <c r="A69" s="0" t="s">
        <v>27</v>
      </c>
      <c r="B69" s="0" t="s">
        <v>16</v>
      </c>
      <c r="C69" s="0" t="s">
        <v>78</v>
      </c>
      <c r="D69" s="59" t="str">
        <f aca="false">VLOOKUP(C69,Countries!$A$2:$B$11,2,0)</f>
        <v>Egypt</v>
      </c>
      <c r="E69" s="0" t="s">
        <v>48</v>
      </c>
      <c r="F69" s="59" t="str">
        <f aca="false">VLOOKUP(E69,Models!$A$2:$B$13,2,0)</f>
        <v>55-inch QLED TV</v>
      </c>
      <c r="G69" s="9" t="n">
        <v>17</v>
      </c>
      <c r="H69" s="9" t="n">
        <v>328780</v>
      </c>
      <c r="I69" s="0" t="s">
        <v>79</v>
      </c>
    </row>
    <row r="70" customFormat="false" ht="12.8" hidden="false" customHeight="false" outlineLevel="0" collapsed="false">
      <c r="A70" s="0" t="s">
        <v>27</v>
      </c>
      <c r="B70" s="0" t="s">
        <v>16</v>
      </c>
      <c r="C70" s="0" t="s">
        <v>78</v>
      </c>
      <c r="D70" s="59" t="str">
        <f aca="false">VLOOKUP(C70,Countries!$A$2:$B$11,2,0)</f>
        <v>Egypt</v>
      </c>
      <c r="E70" s="0" t="s">
        <v>48</v>
      </c>
      <c r="F70" s="59" t="str">
        <f aca="false">VLOOKUP(E70,Models!$A$2:$B$13,2,0)</f>
        <v>55-inch QLED TV</v>
      </c>
      <c r="G70" s="9" t="n">
        <v>18</v>
      </c>
      <c r="H70" s="9" t="n">
        <v>348120</v>
      </c>
      <c r="I70" s="0" t="s">
        <v>79</v>
      </c>
    </row>
    <row r="71" customFormat="false" ht="12.8" hidden="false" customHeight="false" outlineLevel="0" collapsed="false">
      <c r="A71" s="0" t="s">
        <v>27</v>
      </c>
      <c r="B71" s="0" t="s">
        <v>16</v>
      </c>
      <c r="C71" s="0" t="s">
        <v>78</v>
      </c>
      <c r="D71" s="59" t="str">
        <f aca="false">VLOOKUP(C71,Countries!$A$2:$B$11,2,0)</f>
        <v>Egypt</v>
      </c>
      <c r="E71" s="0" t="s">
        <v>40</v>
      </c>
      <c r="F71" s="59" t="str">
        <f aca="false">VLOOKUP(E71,Models!$A$2:$B$13,2,0)</f>
        <v>65-inch 4K TV</v>
      </c>
      <c r="G71" s="9" t="n">
        <v>8</v>
      </c>
      <c r="H71" s="9" t="n">
        <v>196400</v>
      </c>
      <c r="I71" s="0" t="s">
        <v>79</v>
      </c>
    </row>
    <row r="72" customFormat="false" ht="12.8" hidden="false" customHeight="false" outlineLevel="0" collapsed="false">
      <c r="A72" s="0" t="s">
        <v>27</v>
      </c>
      <c r="B72" s="0" t="s">
        <v>16</v>
      </c>
      <c r="C72" s="0" t="s">
        <v>78</v>
      </c>
      <c r="D72" s="59" t="str">
        <f aca="false">VLOOKUP(C72,Countries!$A$2:$B$11,2,0)</f>
        <v>Egypt</v>
      </c>
      <c r="E72" s="0" t="s">
        <v>44</v>
      </c>
      <c r="F72" s="59" t="str">
        <f aca="false">VLOOKUP(E72,Models!$A$2:$B$13,2,0)</f>
        <v>55-inch 4K TV</v>
      </c>
      <c r="G72" s="9" t="n">
        <v>123</v>
      </c>
      <c r="H72" s="9" t="n">
        <v>1875750</v>
      </c>
      <c r="I72" s="0" t="s">
        <v>79</v>
      </c>
    </row>
    <row r="73" customFormat="false" ht="12.8" hidden="false" customHeight="false" outlineLevel="0" collapsed="false">
      <c r="A73" s="0" t="s">
        <v>23</v>
      </c>
      <c r="B73" s="0" t="s">
        <v>17</v>
      </c>
      <c r="C73" s="0" t="s">
        <v>78</v>
      </c>
      <c r="D73" s="59" t="str">
        <f aca="false">VLOOKUP(C73,Countries!$A$2:$B$11,2,0)</f>
        <v>Egypt</v>
      </c>
      <c r="E73" s="0" t="s">
        <v>51</v>
      </c>
      <c r="F73" s="59" t="str">
        <f aca="false">VLOOKUP(E73,Models!$A$2:$B$13,2,0)</f>
        <v>24-inch HD TV</v>
      </c>
      <c r="G73" s="9" t="n">
        <v>29</v>
      </c>
      <c r="H73" s="9" t="n">
        <v>104400</v>
      </c>
      <c r="I73" s="0" t="s">
        <v>80</v>
      </c>
    </row>
    <row r="74" customFormat="false" ht="12.8" hidden="false" customHeight="false" outlineLevel="0" collapsed="false">
      <c r="A74" s="0" t="s">
        <v>23</v>
      </c>
      <c r="B74" s="0" t="s">
        <v>17</v>
      </c>
      <c r="C74" s="0" t="s">
        <v>78</v>
      </c>
      <c r="D74" s="59" t="str">
        <f aca="false">VLOOKUP(C74,Countries!$A$2:$B$11,2,0)</f>
        <v>Egypt</v>
      </c>
      <c r="E74" s="0" t="s">
        <v>44</v>
      </c>
      <c r="F74" s="59" t="str">
        <f aca="false">VLOOKUP(E74,Models!$A$2:$B$13,2,0)</f>
        <v>55-inch 4K TV</v>
      </c>
      <c r="G74" s="9" t="n">
        <v>47</v>
      </c>
      <c r="H74" s="9" t="n">
        <v>716750</v>
      </c>
      <c r="I74" s="0" t="s">
        <v>80</v>
      </c>
    </row>
    <row r="75" customFormat="false" ht="12.8" hidden="false" customHeight="false" outlineLevel="0" collapsed="false">
      <c r="A75" s="0" t="s">
        <v>23</v>
      </c>
      <c r="B75" s="0" t="s">
        <v>17</v>
      </c>
      <c r="C75" s="0" t="s">
        <v>78</v>
      </c>
      <c r="D75" s="59" t="str">
        <f aca="false">VLOOKUP(C75,Countries!$A$2:$B$11,2,0)</f>
        <v>Egypt</v>
      </c>
      <c r="E75" s="0" t="s">
        <v>47</v>
      </c>
      <c r="F75" s="59" t="str">
        <f aca="false">VLOOKUP(E75,Models!$A$2:$B$13,2,0)</f>
        <v>32-inch Smart TV</v>
      </c>
      <c r="G75" s="9" t="n">
        <v>155</v>
      </c>
      <c r="H75" s="9" t="n">
        <v>883500</v>
      </c>
      <c r="I75" s="0" t="s">
        <v>80</v>
      </c>
    </row>
    <row r="76" customFormat="false" ht="12.8" hidden="false" customHeight="false" outlineLevel="0" collapsed="false">
      <c r="A76" s="0" t="s">
        <v>23</v>
      </c>
      <c r="B76" s="0" t="s">
        <v>17</v>
      </c>
      <c r="C76" s="0" t="s">
        <v>78</v>
      </c>
      <c r="D76" s="59" t="str">
        <f aca="false">VLOOKUP(C76,Countries!$A$2:$B$11,2,0)</f>
        <v>Egypt</v>
      </c>
      <c r="E76" s="0" t="s">
        <v>50</v>
      </c>
      <c r="F76" s="59" t="str">
        <f aca="false">VLOOKUP(E76,Models!$A$2:$B$13,2,0)</f>
        <v>50-inch 4K TV</v>
      </c>
      <c r="G76" s="9" t="n">
        <v>65</v>
      </c>
      <c r="H76" s="9" t="n">
        <v>838500</v>
      </c>
      <c r="I76" s="0" t="s">
        <v>80</v>
      </c>
    </row>
    <row r="77" customFormat="false" ht="12.8" hidden="false" customHeight="false" outlineLevel="0" collapsed="false">
      <c r="A77" s="0" t="s">
        <v>23</v>
      </c>
      <c r="B77" s="0" t="s">
        <v>17</v>
      </c>
      <c r="C77" s="0" t="s">
        <v>78</v>
      </c>
      <c r="D77" s="59" t="str">
        <f aca="false">VLOOKUP(C77,Countries!$A$2:$B$11,2,0)</f>
        <v>Egypt</v>
      </c>
      <c r="E77" s="0" t="s">
        <v>43</v>
      </c>
      <c r="F77" s="59" t="str">
        <f aca="false">VLOOKUP(E77,Models!$A$2:$B$13,2,0)</f>
        <v>32-inch HD TV</v>
      </c>
      <c r="G77" s="9" t="n">
        <v>43</v>
      </c>
      <c r="H77" s="9" t="n">
        <v>208120</v>
      </c>
      <c r="I77" s="0" t="s">
        <v>80</v>
      </c>
    </row>
    <row r="78" customFormat="false" ht="12.8" hidden="false" customHeight="false" outlineLevel="0" collapsed="false">
      <c r="A78" s="0" t="s">
        <v>23</v>
      </c>
      <c r="B78" s="0" t="s">
        <v>17</v>
      </c>
      <c r="C78" s="0" t="s">
        <v>78</v>
      </c>
      <c r="D78" s="59" t="str">
        <f aca="false">VLOOKUP(C78,Countries!$A$2:$B$11,2,0)</f>
        <v>Egypt</v>
      </c>
      <c r="E78" s="0" t="s">
        <v>46</v>
      </c>
      <c r="F78" s="59" t="str">
        <f aca="false">VLOOKUP(E78,Models!$A$2:$B$13,2,0)</f>
        <v>43-inch Full HD TV</v>
      </c>
      <c r="G78" s="9" t="n">
        <v>74</v>
      </c>
      <c r="H78" s="9" t="n">
        <v>633440</v>
      </c>
      <c r="I78" s="0" t="s">
        <v>80</v>
      </c>
    </row>
    <row r="79" customFormat="false" ht="12.8" hidden="false" customHeight="false" outlineLevel="0" collapsed="false">
      <c r="A79" s="0" t="s">
        <v>23</v>
      </c>
      <c r="B79" s="0" t="s">
        <v>17</v>
      </c>
      <c r="C79" s="0" t="s">
        <v>78</v>
      </c>
      <c r="D79" s="59" t="str">
        <f aca="false">VLOOKUP(C79,Countries!$A$2:$B$11,2,0)</f>
        <v>Egypt</v>
      </c>
      <c r="E79" s="0" t="s">
        <v>44</v>
      </c>
      <c r="F79" s="59" t="str">
        <f aca="false">VLOOKUP(E79,Models!$A$2:$B$13,2,0)</f>
        <v>55-inch 4K TV</v>
      </c>
      <c r="G79" s="9" t="n">
        <v>47</v>
      </c>
      <c r="H79" s="9" t="n">
        <v>716750</v>
      </c>
      <c r="I79" s="0" t="s">
        <v>80</v>
      </c>
    </row>
    <row r="80" customFormat="false" ht="12.8" hidden="false" customHeight="false" outlineLevel="0" collapsed="false">
      <c r="A80" s="0" t="s">
        <v>23</v>
      </c>
      <c r="B80" s="0" t="s">
        <v>17</v>
      </c>
      <c r="C80" s="0" t="s">
        <v>78</v>
      </c>
      <c r="D80" s="59" t="str">
        <f aca="false">VLOOKUP(C80,Countries!$A$2:$B$11,2,0)</f>
        <v>Egypt</v>
      </c>
      <c r="E80" s="0" t="s">
        <v>41</v>
      </c>
      <c r="F80" s="59" t="str">
        <f aca="false">VLOOKUP(E80,Models!$A$2:$B$13,2,0)</f>
        <v>75-inch 4K TV</v>
      </c>
      <c r="G80" s="9" t="n">
        <v>106</v>
      </c>
      <c r="H80" s="9" t="n">
        <v>4101140</v>
      </c>
      <c r="I80" s="0" t="s">
        <v>80</v>
      </c>
    </row>
    <row r="81" customFormat="false" ht="12.8" hidden="false" customHeight="false" outlineLevel="0" collapsed="false">
      <c r="A81" s="0" t="s">
        <v>23</v>
      </c>
      <c r="B81" s="0" t="s">
        <v>17</v>
      </c>
      <c r="C81" s="0" t="s">
        <v>78</v>
      </c>
      <c r="D81" s="59" t="str">
        <f aca="false">VLOOKUP(C81,Countries!$A$2:$B$11,2,0)</f>
        <v>Egypt</v>
      </c>
      <c r="E81" s="0" t="s">
        <v>43</v>
      </c>
      <c r="F81" s="59" t="str">
        <f aca="false">VLOOKUP(E81,Models!$A$2:$B$13,2,0)</f>
        <v>32-inch HD TV</v>
      </c>
      <c r="G81" s="9" t="n">
        <v>42</v>
      </c>
      <c r="H81" s="9" t="n">
        <v>203280</v>
      </c>
      <c r="I81" s="0" t="s">
        <v>80</v>
      </c>
    </row>
    <row r="82" customFormat="false" ht="12.8" hidden="false" customHeight="false" outlineLevel="0" collapsed="false">
      <c r="A82" s="0" t="s">
        <v>23</v>
      </c>
      <c r="B82" s="0" t="s">
        <v>17</v>
      </c>
      <c r="C82" s="0" t="s">
        <v>78</v>
      </c>
      <c r="D82" s="59" t="str">
        <f aca="false">VLOOKUP(C82,Countries!$A$2:$B$11,2,0)</f>
        <v>Egypt</v>
      </c>
      <c r="E82" s="0" t="s">
        <v>45</v>
      </c>
      <c r="F82" s="59" t="str">
        <f aca="false">VLOOKUP(E82,Models!$A$2:$B$13,2,0)</f>
        <v>40-inch Full HD TV</v>
      </c>
      <c r="G82" s="9" t="n">
        <v>110</v>
      </c>
      <c r="H82" s="9" t="n">
        <v>845900</v>
      </c>
      <c r="I82" s="0" t="s">
        <v>80</v>
      </c>
    </row>
    <row r="83" customFormat="false" ht="12.8" hidden="false" customHeight="false" outlineLevel="0" collapsed="false">
      <c r="A83" s="0" t="s">
        <v>23</v>
      </c>
      <c r="B83" s="0" t="s">
        <v>17</v>
      </c>
      <c r="C83" s="0" t="s">
        <v>78</v>
      </c>
      <c r="D83" s="59" t="str">
        <f aca="false">VLOOKUP(C83,Countries!$A$2:$B$11,2,0)</f>
        <v>Egypt</v>
      </c>
      <c r="E83" s="0" t="s">
        <v>45</v>
      </c>
      <c r="F83" s="59" t="str">
        <f aca="false">VLOOKUP(E83,Models!$A$2:$B$13,2,0)</f>
        <v>40-inch Full HD TV</v>
      </c>
      <c r="G83" s="9" t="n">
        <v>109</v>
      </c>
      <c r="H83" s="9" t="n">
        <v>838210</v>
      </c>
      <c r="I83" s="0" t="s">
        <v>80</v>
      </c>
    </row>
    <row r="84" customFormat="false" ht="12.8" hidden="false" customHeight="false" outlineLevel="0" collapsed="false">
      <c r="A84" s="0" t="s">
        <v>23</v>
      </c>
      <c r="B84" s="0" t="s">
        <v>17</v>
      </c>
      <c r="C84" s="0" t="s">
        <v>78</v>
      </c>
      <c r="D84" s="59" t="str">
        <f aca="false">VLOOKUP(C84,Countries!$A$2:$B$11,2,0)</f>
        <v>Egypt</v>
      </c>
      <c r="E84" s="0" t="s">
        <v>50</v>
      </c>
      <c r="F84" s="59" t="str">
        <f aca="false">VLOOKUP(E84,Models!$A$2:$B$13,2,0)</f>
        <v>50-inch 4K TV</v>
      </c>
      <c r="G84" s="9" t="n">
        <v>66</v>
      </c>
      <c r="H84" s="9" t="n">
        <v>851400</v>
      </c>
      <c r="I84" s="0" t="s">
        <v>80</v>
      </c>
    </row>
    <row r="85" customFormat="false" ht="12.8" hidden="false" customHeight="false" outlineLevel="0" collapsed="false">
      <c r="A85" s="0" t="s">
        <v>23</v>
      </c>
      <c r="B85" s="0" t="s">
        <v>17</v>
      </c>
      <c r="C85" s="0" t="s">
        <v>78</v>
      </c>
      <c r="D85" s="59" t="str">
        <f aca="false">VLOOKUP(C85,Countries!$A$2:$B$11,2,0)</f>
        <v>Egypt</v>
      </c>
      <c r="E85" s="0" t="s">
        <v>46</v>
      </c>
      <c r="F85" s="59" t="str">
        <f aca="false">VLOOKUP(E85,Models!$A$2:$B$13,2,0)</f>
        <v>43-inch Full HD TV</v>
      </c>
      <c r="G85" s="9" t="n">
        <v>73</v>
      </c>
      <c r="H85" s="9" t="n">
        <v>624880</v>
      </c>
      <c r="I85" s="0" t="s">
        <v>80</v>
      </c>
    </row>
    <row r="86" customFormat="false" ht="12.8" hidden="false" customHeight="false" outlineLevel="0" collapsed="false">
      <c r="A86" s="0" t="s">
        <v>23</v>
      </c>
      <c r="B86" s="0" t="s">
        <v>17</v>
      </c>
      <c r="C86" s="0" t="s">
        <v>78</v>
      </c>
      <c r="D86" s="59" t="str">
        <f aca="false">VLOOKUP(C86,Countries!$A$2:$B$11,2,0)</f>
        <v>Egypt</v>
      </c>
      <c r="E86" s="0" t="s">
        <v>43</v>
      </c>
      <c r="F86" s="59" t="str">
        <f aca="false">VLOOKUP(E86,Models!$A$2:$B$13,2,0)</f>
        <v>32-inch HD TV</v>
      </c>
      <c r="G86" s="9" t="n">
        <v>43</v>
      </c>
      <c r="H86" s="9" t="n">
        <v>208120</v>
      </c>
      <c r="I86" s="0" t="s">
        <v>80</v>
      </c>
    </row>
    <row r="87" customFormat="false" ht="12.8" hidden="false" customHeight="false" outlineLevel="0" collapsed="false">
      <c r="A87" s="0" t="s">
        <v>23</v>
      </c>
      <c r="B87" s="0" t="s">
        <v>17</v>
      </c>
      <c r="C87" s="0" t="s">
        <v>78</v>
      </c>
      <c r="D87" s="59" t="str">
        <f aca="false">VLOOKUP(C87,Countries!$A$2:$B$11,2,0)</f>
        <v>Egypt</v>
      </c>
      <c r="E87" s="0" t="s">
        <v>42</v>
      </c>
      <c r="F87" s="59" t="str">
        <f aca="false">VLOOKUP(E87,Models!$A$2:$B$13,2,0)</f>
        <v>65-inch QLED TV</v>
      </c>
      <c r="G87" s="9" t="n">
        <v>18</v>
      </c>
      <c r="H87" s="9" t="n">
        <v>546840</v>
      </c>
      <c r="I87" s="0" t="s">
        <v>80</v>
      </c>
    </row>
    <row r="88" customFormat="false" ht="12.8" hidden="false" customHeight="false" outlineLevel="0" collapsed="false">
      <c r="A88" s="0" t="s">
        <v>23</v>
      </c>
      <c r="B88" s="0" t="s">
        <v>17</v>
      </c>
      <c r="C88" s="0" t="s">
        <v>78</v>
      </c>
      <c r="D88" s="59" t="str">
        <f aca="false">VLOOKUP(C88,Countries!$A$2:$B$11,2,0)</f>
        <v>Egypt</v>
      </c>
      <c r="E88" s="0" t="s">
        <v>45</v>
      </c>
      <c r="F88" s="59" t="str">
        <f aca="false">VLOOKUP(E88,Models!$A$2:$B$13,2,0)</f>
        <v>40-inch Full HD TV</v>
      </c>
      <c r="G88" s="9" t="n">
        <v>110</v>
      </c>
      <c r="H88" s="9" t="n">
        <v>845900</v>
      </c>
      <c r="I88" s="0" t="s">
        <v>80</v>
      </c>
    </row>
    <row r="89" customFormat="false" ht="12.8" hidden="false" customHeight="false" outlineLevel="0" collapsed="false">
      <c r="A89" s="0" t="s">
        <v>23</v>
      </c>
      <c r="B89" s="0" t="s">
        <v>17</v>
      </c>
      <c r="C89" s="0" t="s">
        <v>78</v>
      </c>
      <c r="D89" s="59" t="str">
        <f aca="false">VLOOKUP(C89,Countries!$A$2:$B$11,2,0)</f>
        <v>Egypt</v>
      </c>
      <c r="E89" s="0" t="s">
        <v>49</v>
      </c>
      <c r="F89" s="59" t="str">
        <f aca="false">VLOOKUP(E89,Models!$A$2:$B$13,2,0)</f>
        <v>43-inch Smart TV</v>
      </c>
      <c r="G89" s="9" t="n">
        <v>34</v>
      </c>
      <c r="H89" s="9" t="n">
        <v>328780</v>
      </c>
      <c r="I89" s="0" t="s">
        <v>80</v>
      </c>
    </row>
    <row r="90" customFormat="false" ht="12.8" hidden="false" customHeight="false" outlineLevel="0" collapsed="false">
      <c r="A90" s="0" t="s">
        <v>23</v>
      </c>
      <c r="B90" s="0" t="s">
        <v>17</v>
      </c>
      <c r="C90" s="0" t="s">
        <v>78</v>
      </c>
      <c r="D90" s="59" t="str">
        <f aca="false">VLOOKUP(C90,Countries!$A$2:$B$11,2,0)</f>
        <v>Egypt</v>
      </c>
      <c r="E90" s="0" t="s">
        <v>51</v>
      </c>
      <c r="F90" s="59" t="str">
        <f aca="false">VLOOKUP(E90,Models!$A$2:$B$13,2,0)</f>
        <v>24-inch HD TV</v>
      </c>
      <c r="G90" s="9" t="n">
        <v>29</v>
      </c>
      <c r="H90" s="9" t="n">
        <v>104400</v>
      </c>
      <c r="I90" s="0" t="s">
        <v>80</v>
      </c>
    </row>
    <row r="91" customFormat="false" ht="12.8" hidden="false" customHeight="false" outlineLevel="0" collapsed="false">
      <c r="A91" s="0" t="s">
        <v>23</v>
      </c>
      <c r="B91" s="0" t="s">
        <v>17</v>
      </c>
      <c r="C91" s="0" t="s">
        <v>78</v>
      </c>
      <c r="D91" s="59" t="str">
        <f aca="false">VLOOKUP(C91,Countries!$A$2:$B$11,2,0)</f>
        <v>Egypt</v>
      </c>
      <c r="E91" s="0" t="s">
        <v>49</v>
      </c>
      <c r="F91" s="59" t="str">
        <f aca="false">VLOOKUP(E91,Models!$A$2:$B$13,2,0)</f>
        <v>43-inch Smart TV</v>
      </c>
      <c r="G91" s="9" t="n">
        <v>35</v>
      </c>
      <c r="H91" s="9" t="n">
        <v>338450</v>
      </c>
      <c r="I91" s="0" t="s">
        <v>80</v>
      </c>
    </row>
    <row r="92" customFormat="false" ht="12.8" hidden="false" customHeight="false" outlineLevel="0" collapsed="false">
      <c r="A92" s="0" t="s">
        <v>23</v>
      </c>
      <c r="B92" s="0" t="s">
        <v>17</v>
      </c>
      <c r="C92" s="0" t="s">
        <v>78</v>
      </c>
      <c r="D92" s="59" t="str">
        <f aca="false">VLOOKUP(C92,Countries!$A$2:$B$11,2,0)</f>
        <v>Egypt</v>
      </c>
      <c r="E92" s="0" t="s">
        <v>44</v>
      </c>
      <c r="F92" s="59" t="str">
        <f aca="false">VLOOKUP(E92,Models!$A$2:$B$13,2,0)</f>
        <v>55-inch 4K TV</v>
      </c>
      <c r="G92" s="9" t="n">
        <v>47</v>
      </c>
      <c r="H92" s="9" t="n">
        <v>716750</v>
      </c>
      <c r="I92" s="0" t="s">
        <v>80</v>
      </c>
    </row>
    <row r="93" customFormat="false" ht="12.8" hidden="false" customHeight="false" outlineLevel="0" collapsed="false">
      <c r="A93" s="0" t="s">
        <v>23</v>
      </c>
      <c r="B93" s="0" t="s">
        <v>17</v>
      </c>
      <c r="C93" s="0" t="s">
        <v>78</v>
      </c>
      <c r="D93" s="59" t="str">
        <f aca="false">VLOOKUP(C93,Countries!$A$2:$B$11,2,0)</f>
        <v>Egypt</v>
      </c>
      <c r="E93" s="0" t="s">
        <v>48</v>
      </c>
      <c r="F93" s="59" t="str">
        <f aca="false">VLOOKUP(E93,Models!$A$2:$B$13,2,0)</f>
        <v>55-inch QLED TV</v>
      </c>
      <c r="G93" s="9" t="n">
        <v>169</v>
      </c>
      <c r="H93" s="9" t="n">
        <v>3268460</v>
      </c>
      <c r="I93" s="0" t="s">
        <v>80</v>
      </c>
    </row>
    <row r="94" customFormat="false" ht="12.8" hidden="false" customHeight="false" outlineLevel="0" collapsed="false">
      <c r="A94" s="0" t="s">
        <v>25</v>
      </c>
      <c r="B94" s="0" t="s">
        <v>17</v>
      </c>
      <c r="C94" s="0" t="s">
        <v>78</v>
      </c>
      <c r="D94" s="59" t="str">
        <f aca="false">VLOOKUP(C94,Countries!$A$2:$B$11,2,0)</f>
        <v>Egypt</v>
      </c>
      <c r="E94" s="0" t="s">
        <v>46</v>
      </c>
      <c r="F94" s="59" t="str">
        <f aca="false">VLOOKUP(E94,Models!$A$2:$B$13,2,0)</f>
        <v>43-inch Full HD TV</v>
      </c>
      <c r="G94" s="9" t="n">
        <v>71</v>
      </c>
      <c r="H94" s="9" t="n">
        <v>607760</v>
      </c>
      <c r="I94" s="0" t="s">
        <v>80</v>
      </c>
    </row>
    <row r="95" customFormat="false" ht="12.8" hidden="false" customHeight="false" outlineLevel="0" collapsed="false">
      <c r="A95" s="0" t="s">
        <v>25</v>
      </c>
      <c r="B95" s="0" t="s">
        <v>17</v>
      </c>
      <c r="C95" s="0" t="s">
        <v>78</v>
      </c>
      <c r="D95" s="59" t="str">
        <f aca="false">VLOOKUP(C95,Countries!$A$2:$B$11,2,0)</f>
        <v>Egypt</v>
      </c>
      <c r="E95" s="0" t="s">
        <v>49</v>
      </c>
      <c r="F95" s="59" t="str">
        <f aca="false">VLOOKUP(E95,Models!$A$2:$B$13,2,0)</f>
        <v>43-inch Smart TV</v>
      </c>
      <c r="G95" s="9" t="n">
        <v>8</v>
      </c>
      <c r="H95" s="9" t="n">
        <v>77360</v>
      </c>
      <c r="I95" s="0" t="s">
        <v>80</v>
      </c>
    </row>
    <row r="96" customFormat="false" ht="12.8" hidden="false" customHeight="false" outlineLevel="0" collapsed="false">
      <c r="A96" s="0" t="s">
        <v>25</v>
      </c>
      <c r="B96" s="0" t="s">
        <v>17</v>
      </c>
      <c r="C96" s="0" t="s">
        <v>78</v>
      </c>
      <c r="D96" s="59" t="str">
        <f aca="false">VLOOKUP(C96,Countries!$A$2:$B$11,2,0)</f>
        <v>Egypt</v>
      </c>
      <c r="E96" s="0" t="s">
        <v>46</v>
      </c>
      <c r="F96" s="59" t="str">
        <f aca="false">VLOOKUP(E96,Models!$A$2:$B$13,2,0)</f>
        <v>43-inch Full HD TV</v>
      </c>
      <c r="G96" s="9" t="n">
        <v>71</v>
      </c>
      <c r="H96" s="9" t="n">
        <v>607760</v>
      </c>
      <c r="I96" s="0" t="s">
        <v>80</v>
      </c>
    </row>
    <row r="97" customFormat="false" ht="12.8" hidden="false" customHeight="false" outlineLevel="0" collapsed="false">
      <c r="A97" s="0" t="s">
        <v>25</v>
      </c>
      <c r="B97" s="0" t="s">
        <v>17</v>
      </c>
      <c r="C97" s="0" t="s">
        <v>78</v>
      </c>
      <c r="D97" s="59" t="str">
        <f aca="false">VLOOKUP(C97,Countries!$A$2:$B$11,2,0)</f>
        <v>Egypt</v>
      </c>
      <c r="E97" s="0" t="s">
        <v>41</v>
      </c>
      <c r="F97" s="59" t="str">
        <f aca="false">VLOOKUP(E97,Models!$A$2:$B$13,2,0)</f>
        <v>75-inch 4K TV</v>
      </c>
      <c r="G97" s="9" t="n">
        <v>14</v>
      </c>
      <c r="H97" s="9" t="n">
        <v>541660</v>
      </c>
      <c r="I97" s="0" t="s">
        <v>80</v>
      </c>
    </row>
    <row r="98" customFormat="false" ht="12.8" hidden="false" customHeight="false" outlineLevel="0" collapsed="false">
      <c r="A98" s="0" t="s">
        <v>25</v>
      </c>
      <c r="B98" s="0" t="s">
        <v>17</v>
      </c>
      <c r="C98" s="0" t="s">
        <v>78</v>
      </c>
      <c r="D98" s="59" t="str">
        <f aca="false">VLOOKUP(C98,Countries!$A$2:$B$11,2,0)</f>
        <v>Egypt</v>
      </c>
      <c r="E98" s="0" t="s">
        <v>41</v>
      </c>
      <c r="F98" s="59" t="str">
        <f aca="false">VLOOKUP(E98,Models!$A$2:$B$13,2,0)</f>
        <v>75-inch 4K TV</v>
      </c>
      <c r="G98" s="9" t="n">
        <v>14</v>
      </c>
      <c r="H98" s="9" t="n">
        <v>541660</v>
      </c>
      <c r="I98" s="0" t="s">
        <v>80</v>
      </c>
    </row>
    <row r="99" customFormat="false" ht="12.8" hidden="false" customHeight="false" outlineLevel="0" collapsed="false">
      <c r="A99" s="0" t="s">
        <v>25</v>
      </c>
      <c r="B99" s="0" t="s">
        <v>17</v>
      </c>
      <c r="C99" s="0" t="s">
        <v>78</v>
      </c>
      <c r="D99" s="59" t="str">
        <f aca="false">VLOOKUP(C99,Countries!$A$2:$B$11,2,0)</f>
        <v>Egypt</v>
      </c>
      <c r="E99" s="0" t="s">
        <v>43</v>
      </c>
      <c r="F99" s="59" t="str">
        <f aca="false">VLOOKUP(E99,Models!$A$2:$B$13,2,0)</f>
        <v>32-inch HD TV</v>
      </c>
      <c r="G99" s="9" t="n">
        <v>187</v>
      </c>
      <c r="H99" s="9" t="n">
        <v>905080</v>
      </c>
      <c r="I99" s="0" t="s">
        <v>80</v>
      </c>
    </row>
    <row r="100" customFormat="false" ht="12.8" hidden="false" customHeight="false" outlineLevel="0" collapsed="false">
      <c r="A100" s="0" t="s">
        <v>25</v>
      </c>
      <c r="B100" s="0" t="s">
        <v>17</v>
      </c>
      <c r="C100" s="0" t="s">
        <v>78</v>
      </c>
      <c r="D100" s="59" t="str">
        <f aca="false">VLOOKUP(C100,Countries!$A$2:$B$11,2,0)</f>
        <v>Egypt</v>
      </c>
      <c r="E100" s="0" t="s">
        <v>46</v>
      </c>
      <c r="F100" s="59" t="str">
        <f aca="false">VLOOKUP(E100,Models!$A$2:$B$13,2,0)</f>
        <v>43-inch Full HD TV</v>
      </c>
      <c r="G100" s="9" t="n">
        <v>71</v>
      </c>
      <c r="H100" s="9" t="n">
        <v>607760</v>
      </c>
      <c r="I100" s="0" t="s">
        <v>80</v>
      </c>
    </row>
    <row r="101" customFormat="false" ht="12.8" hidden="false" customHeight="false" outlineLevel="0" collapsed="false">
      <c r="A101" s="0" t="s">
        <v>25</v>
      </c>
      <c r="B101" s="0" t="s">
        <v>17</v>
      </c>
      <c r="C101" s="0" t="s">
        <v>78</v>
      </c>
      <c r="D101" s="59" t="str">
        <f aca="false">VLOOKUP(C101,Countries!$A$2:$B$11,2,0)</f>
        <v>Egypt</v>
      </c>
      <c r="E101" s="0" t="s">
        <v>48</v>
      </c>
      <c r="F101" s="59" t="str">
        <f aca="false">VLOOKUP(E101,Models!$A$2:$B$13,2,0)</f>
        <v>55-inch QLED TV</v>
      </c>
      <c r="G101" s="9" t="n">
        <v>101</v>
      </c>
      <c r="H101" s="9" t="n">
        <v>1953340</v>
      </c>
      <c r="I101" s="0" t="s">
        <v>80</v>
      </c>
    </row>
    <row r="102" customFormat="false" ht="12.8" hidden="false" customHeight="false" outlineLevel="0" collapsed="false">
      <c r="A102" s="0" t="s">
        <v>25</v>
      </c>
      <c r="B102" s="0" t="s">
        <v>17</v>
      </c>
      <c r="C102" s="0" t="s">
        <v>78</v>
      </c>
      <c r="D102" s="59" t="str">
        <f aca="false">VLOOKUP(C102,Countries!$A$2:$B$11,2,0)</f>
        <v>Egypt</v>
      </c>
      <c r="E102" s="0" t="s">
        <v>42</v>
      </c>
      <c r="F102" s="59" t="str">
        <f aca="false">VLOOKUP(E102,Models!$A$2:$B$13,2,0)</f>
        <v>65-inch QLED TV</v>
      </c>
      <c r="G102" s="9" t="n">
        <v>26</v>
      </c>
      <c r="H102" s="9" t="n">
        <v>789880</v>
      </c>
      <c r="I102" s="0" t="s">
        <v>80</v>
      </c>
    </row>
    <row r="103" customFormat="false" ht="12.8" hidden="false" customHeight="false" outlineLevel="0" collapsed="false">
      <c r="A103" s="0" t="s">
        <v>25</v>
      </c>
      <c r="B103" s="0" t="s">
        <v>17</v>
      </c>
      <c r="C103" s="0" t="s">
        <v>78</v>
      </c>
      <c r="D103" s="59" t="str">
        <f aca="false">VLOOKUP(C103,Countries!$A$2:$B$11,2,0)</f>
        <v>Egypt</v>
      </c>
      <c r="E103" s="0" t="s">
        <v>43</v>
      </c>
      <c r="F103" s="59" t="str">
        <f aca="false">VLOOKUP(E103,Models!$A$2:$B$13,2,0)</f>
        <v>32-inch HD TV</v>
      </c>
      <c r="G103" s="9" t="n">
        <v>188</v>
      </c>
      <c r="H103" s="9" t="n">
        <v>909920</v>
      </c>
      <c r="I103" s="0" t="s">
        <v>80</v>
      </c>
    </row>
    <row r="104" customFormat="false" ht="12.8" hidden="false" customHeight="false" outlineLevel="0" collapsed="false">
      <c r="A104" s="0" t="s">
        <v>25</v>
      </c>
      <c r="B104" s="0" t="s">
        <v>17</v>
      </c>
      <c r="C104" s="0" t="s">
        <v>78</v>
      </c>
      <c r="D104" s="59" t="str">
        <f aca="false">VLOOKUP(C104,Countries!$A$2:$B$11,2,0)</f>
        <v>Egypt</v>
      </c>
      <c r="E104" s="0" t="s">
        <v>51</v>
      </c>
      <c r="F104" s="59" t="str">
        <f aca="false">VLOOKUP(E104,Models!$A$2:$B$13,2,0)</f>
        <v>24-inch HD TV</v>
      </c>
      <c r="G104" s="9" t="n">
        <v>387</v>
      </c>
      <c r="H104" s="9" t="n">
        <v>1393200</v>
      </c>
      <c r="I104" s="0" t="s">
        <v>80</v>
      </c>
    </row>
    <row r="105" customFormat="false" ht="12.8" hidden="false" customHeight="false" outlineLevel="0" collapsed="false">
      <c r="A105" s="0" t="s">
        <v>25</v>
      </c>
      <c r="B105" s="0" t="s">
        <v>17</v>
      </c>
      <c r="C105" s="0" t="s">
        <v>78</v>
      </c>
      <c r="D105" s="59" t="str">
        <f aca="false">VLOOKUP(C105,Countries!$A$2:$B$11,2,0)</f>
        <v>Egypt</v>
      </c>
      <c r="E105" s="0" t="s">
        <v>47</v>
      </c>
      <c r="F105" s="59" t="str">
        <f aca="false">VLOOKUP(E105,Models!$A$2:$B$13,2,0)</f>
        <v>32-inch Smart TV</v>
      </c>
      <c r="G105" s="9" t="n">
        <v>144</v>
      </c>
      <c r="H105" s="9" t="n">
        <v>820800</v>
      </c>
      <c r="I105" s="0" t="s">
        <v>80</v>
      </c>
    </row>
    <row r="106" customFormat="false" ht="12.8" hidden="false" customHeight="false" outlineLevel="0" collapsed="false">
      <c r="A106" s="0" t="s">
        <v>25</v>
      </c>
      <c r="B106" s="0" t="s">
        <v>17</v>
      </c>
      <c r="C106" s="0" t="s">
        <v>78</v>
      </c>
      <c r="D106" s="59" t="str">
        <f aca="false">VLOOKUP(C106,Countries!$A$2:$B$11,2,0)</f>
        <v>Egypt</v>
      </c>
      <c r="E106" s="0" t="s">
        <v>41</v>
      </c>
      <c r="F106" s="59" t="str">
        <f aca="false">VLOOKUP(E106,Models!$A$2:$B$13,2,0)</f>
        <v>75-inch 4K TV</v>
      </c>
      <c r="G106" s="9" t="n">
        <v>14</v>
      </c>
      <c r="H106" s="9" t="n">
        <v>541660</v>
      </c>
      <c r="I106" s="0" t="s">
        <v>80</v>
      </c>
    </row>
    <row r="107" customFormat="false" ht="12.8" hidden="false" customHeight="false" outlineLevel="0" collapsed="false">
      <c r="A107" s="0" t="s">
        <v>25</v>
      </c>
      <c r="B107" s="0" t="s">
        <v>17</v>
      </c>
      <c r="C107" s="0" t="s">
        <v>78</v>
      </c>
      <c r="D107" s="59" t="str">
        <f aca="false">VLOOKUP(C107,Countries!$A$2:$B$11,2,0)</f>
        <v>Egypt</v>
      </c>
      <c r="E107" s="0" t="s">
        <v>49</v>
      </c>
      <c r="F107" s="59" t="str">
        <f aca="false">VLOOKUP(E107,Models!$A$2:$B$13,2,0)</f>
        <v>43-inch Smart TV</v>
      </c>
      <c r="G107" s="9" t="n">
        <v>9</v>
      </c>
      <c r="H107" s="9" t="n">
        <v>87030</v>
      </c>
      <c r="I107" s="0" t="s">
        <v>80</v>
      </c>
    </row>
    <row r="108" customFormat="false" ht="12.8" hidden="false" customHeight="false" outlineLevel="0" collapsed="false">
      <c r="A108" s="0" t="s">
        <v>25</v>
      </c>
      <c r="B108" s="0" t="s">
        <v>17</v>
      </c>
      <c r="C108" s="0" t="s">
        <v>78</v>
      </c>
      <c r="D108" s="59" t="str">
        <f aca="false">VLOOKUP(C108,Countries!$A$2:$B$11,2,0)</f>
        <v>Egypt</v>
      </c>
      <c r="E108" s="0" t="s">
        <v>48</v>
      </c>
      <c r="F108" s="59" t="str">
        <f aca="false">VLOOKUP(E108,Models!$A$2:$B$13,2,0)</f>
        <v>55-inch QLED TV</v>
      </c>
      <c r="G108" s="9" t="n">
        <v>101</v>
      </c>
      <c r="H108" s="9" t="n">
        <v>1953340</v>
      </c>
      <c r="I108" s="0" t="s">
        <v>80</v>
      </c>
    </row>
    <row r="109" customFormat="false" ht="12.8" hidden="false" customHeight="false" outlineLevel="0" collapsed="false">
      <c r="A109" s="0" t="s">
        <v>27</v>
      </c>
      <c r="B109" s="0" t="s">
        <v>17</v>
      </c>
      <c r="C109" s="0" t="s">
        <v>78</v>
      </c>
      <c r="D109" s="59" t="str">
        <f aca="false">VLOOKUP(C109,Countries!$A$2:$B$11,2,0)</f>
        <v>Egypt</v>
      </c>
      <c r="E109" s="0" t="s">
        <v>40</v>
      </c>
      <c r="F109" s="59" t="str">
        <f aca="false">VLOOKUP(E109,Models!$A$2:$B$13,2,0)</f>
        <v>65-inch 4K TV</v>
      </c>
      <c r="G109" s="9" t="n">
        <v>38</v>
      </c>
      <c r="H109" s="9" t="n">
        <v>932900</v>
      </c>
      <c r="I109" s="0" t="s">
        <v>80</v>
      </c>
    </row>
    <row r="110" customFormat="false" ht="12.8" hidden="false" customHeight="false" outlineLevel="0" collapsed="false">
      <c r="A110" s="0" t="s">
        <v>27</v>
      </c>
      <c r="B110" s="0" t="s">
        <v>17</v>
      </c>
      <c r="C110" s="0" t="s">
        <v>78</v>
      </c>
      <c r="D110" s="59" t="str">
        <f aca="false">VLOOKUP(C110,Countries!$A$2:$B$11,2,0)</f>
        <v>Egypt</v>
      </c>
      <c r="E110" s="0" t="s">
        <v>51</v>
      </c>
      <c r="F110" s="59" t="str">
        <f aca="false">VLOOKUP(E110,Models!$A$2:$B$13,2,0)</f>
        <v>24-inch HD TV</v>
      </c>
      <c r="G110" s="9" t="n">
        <v>135</v>
      </c>
      <c r="H110" s="9" t="n">
        <v>486000</v>
      </c>
      <c r="I110" s="0" t="s">
        <v>80</v>
      </c>
    </row>
    <row r="111" customFormat="false" ht="12.8" hidden="false" customHeight="false" outlineLevel="0" collapsed="false">
      <c r="A111" s="0" t="s">
        <v>27</v>
      </c>
      <c r="B111" s="0" t="s">
        <v>17</v>
      </c>
      <c r="C111" s="0" t="s">
        <v>78</v>
      </c>
      <c r="D111" s="59" t="str">
        <f aca="false">VLOOKUP(C111,Countries!$A$2:$B$11,2,0)</f>
        <v>Egypt</v>
      </c>
      <c r="E111" s="0" t="s">
        <v>51</v>
      </c>
      <c r="F111" s="59" t="str">
        <f aca="false">VLOOKUP(E111,Models!$A$2:$B$13,2,0)</f>
        <v>24-inch HD TV</v>
      </c>
      <c r="G111" s="9" t="n">
        <v>135</v>
      </c>
      <c r="H111" s="9" t="n">
        <v>486000</v>
      </c>
      <c r="I111" s="0" t="s">
        <v>80</v>
      </c>
    </row>
    <row r="112" customFormat="false" ht="12.8" hidden="false" customHeight="false" outlineLevel="0" collapsed="false">
      <c r="A112" s="0" t="s">
        <v>27</v>
      </c>
      <c r="B112" s="0" t="s">
        <v>17</v>
      </c>
      <c r="C112" s="0" t="s">
        <v>78</v>
      </c>
      <c r="D112" s="59" t="str">
        <f aca="false">VLOOKUP(C112,Countries!$A$2:$B$11,2,0)</f>
        <v>Egypt</v>
      </c>
      <c r="E112" s="0" t="s">
        <v>49</v>
      </c>
      <c r="F112" s="59" t="str">
        <f aca="false">VLOOKUP(E112,Models!$A$2:$B$13,2,0)</f>
        <v>43-inch Smart TV</v>
      </c>
      <c r="G112" s="9" t="n">
        <v>132</v>
      </c>
      <c r="H112" s="9" t="n">
        <v>1276440</v>
      </c>
      <c r="I112" s="0" t="s">
        <v>80</v>
      </c>
    </row>
    <row r="113" customFormat="false" ht="12.8" hidden="false" customHeight="false" outlineLevel="0" collapsed="false">
      <c r="A113" s="0" t="s">
        <v>27</v>
      </c>
      <c r="B113" s="0" t="s">
        <v>17</v>
      </c>
      <c r="C113" s="0" t="s">
        <v>78</v>
      </c>
      <c r="D113" s="59" t="str">
        <f aca="false">VLOOKUP(C113,Countries!$A$2:$B$11,2,0)</f>
        <v>Egypt</v>
      </c>
      <c r="E113" s="0" t="s">
        <v>40</v>
      </c>
      <c r="F113" s="59" t="str">
        <f aca="false">VLOOKUP(E113,Models!$A$2:$B$13,2,0)</f>
        <v>65-inch 4K TV</v>
      </c>
      <c r="G113" s="9" t="n">
        <v>39</v>
      </c>
      <c r="H113" s="9" t="n">
        <v>957450</v>
      </c>
      <c r="I113" s="0" t="s">
        <v>80</v>
      </c>
    </row>
    <row r="114" customFormat="false" ht="12.8" hidden="false" customHeight="false" outlineLevel="0" collapsed="false">
      <c r="A114" s="0" t="s">
        <v>27</v>
      </c>
      <c r="B114" s="0" t="s">
        <v>17</v>
      </c>
      <c r="C114" s="0" t="s">
        <v>78</v>
      </c>
      <c r="D114" s="59" t="str">
        <f aca="false">VLOOKUP(C114,Countries!$A$2:$B$11,2,0)</f>
        <v>Egypt</v>
      </c>
      <c r="E114" s="0" t="s">
        <v>46</v>
      </c>
      <c r="F114" s="59" t="str">
        <f aca="false">VLOOKUP(E114,Models!$A$2:$B$13,2,0)</f>
        <v>43-inch Full HD TV</v>
      </c>
      <c r="G114" s="9" t="n">
        <v>54</v>
      </c>
      <c r="H114" s="9" t="n">
        <v>462240</v>
      </c>
      <c r="I114" s="0" t="s">
        <v>80</v>
      </c>
    </row>
    <row r="115" customFormat="false" ht="12.8" hidden="false" customHeight="false" outlineLevel="0" collapsed="false">
      <c r="A115" s="0" t="s">
        <v>27</v>
      </c>
      <c r="B115" s="0" t="s">
        <v>17</v>
      </c>
      <c r="C115" s="0" t="s">
        <v>78</v>
      </c>
      <c r="D115" s="59" t="str">
        <f aca="false">VLOOKUP(C115,Countries!$A$2:$B$11,2,0)</f>
        <v>Egypt</v>
      </c>
      <c r="E115" s="0" t="s">
        <v>47</v>
      </c>
      <c r="F115" s="59" t="str">
        <f aca="false">VLOOKUP(E115,Models!$A$2:$B$13,2,0)</f>
        <v>32-inch Smart TV</v>
      </c>
      <c r="G115" s="9" t="n">
        <v>65</v>
      </c>
      <c r="H115" s="9" t="n">
        <v>370500</v>
      </c>
      <c r="I115" s="0" t="s">
        <v>80</v>
      </c>
    </row>
    <row r="116" customFormat="false" ht="12.8" hidden="false" customHeight="false" outlineLevel="0" collapsed="false">
      <c r="A116" s="0" t="s">
        <v>27</v>
      </c>
      <c r="B116" s="0" t="s">
        <v>17</v>
      </c>
      <c r="C116" s="0" t="s">
        <v>78</v>
      </c>
      <c r="D116" s="59" t="str">
        <f aca="false">VLOOKUP(C116,Countries!$A$2:$B$11,2,0)</f>
        <v>Egypt</v>
      </c>
      <c r="E116" s="0" t="s">
        <v>45</v>
      </c>
      <c r="F116" s="59" t="str">
        <f aca="false">VLOOKUP(E116,Models!$A$2:$B$13,2,0)</f>
        <v>40-inch Full HD TV</v>
      </c>
      <c r="G116" s="9" t="n">
        <v>113</v>
      </c>
      <c r="H116" s="9" t="n">
        <v>868970</v>
      </c>
      <c r="I116" s="0" t="s">
        <v>80</v>
      </c>
    </row>
    <row r="117" customFormat="false" ht="12.8" hidden="false" customHeight="false" outlineLevel="0" collapsed="false">
      <c r="A117" s="0" t="s">
        <v>27</v>
      </c>
      <c r="B117" s="0" t="s">
        <v>17</v>
      </c>
      <c r="C117" s="0" t="s">
        <v>78</v>
      </c>
      <c r="D117" s="59" t="str">
        <f aca="false">VLOOKUP(C117,Countries!$A$2:$B$11,2,0)</f>
        <v>Egypt</v>
      </c>
      <c r="E117" s="0" t="s">
        <v>45</v>
      </c>
      <c r="F117" s="59" t="str">
        <f aca="false">VLOOKUP(E117,Models!$A$2:$B$13,2,0)</f>
        <v>40-inch Full HD TV</v>
      </c>
      <c r="G117" s="9" t="n">
        <v>113</v>
      </c>
      <c r="H117" s="9" t="n">
        <v>868970</v>
      </c>
      <c r="I117" s="0" t="s">
        <v>80</v>
      </c>
    </row>
    <row r="118" customFormat="false" ht="12.8" hidden="false" customHeight="false" outlineLevel="0" collapsed="false">
      <c r="A118" s="0" t="s">
        <v>27</v>
      </c>
      <c r="B118" s="0" t="s">
        <v>17</v>
      </c>
      <c r="C118" s="0" t="s">
        <v>78</v>
      </c>
      <c r="D118" s="59" t="str">
        <f aca="false">VLOOKUP(C118,Countries!$A$2:$B$11,2,0)</f>
        <v>Egypt</v>
      </c>
      <c r="E118" s="0" t="s">
        <v>49</v>
      </c>
      <c r="F118" s="59" t="str">
        <f aca="false">VLOOKUP(E118,Models!$A$2:$B$13,2,0)</f>
        <v>43-inch Smart TV</v>
      </c>
      <c r="G118" s="9" t="n">
        <v>132</v>
      </c>
      <c r="H118" s="9" t="n">
        <v>1276440</v>
      </c>
      <c r="I118" s="0" t="s">
        <v>80</v>
      </c>
    </row>
    <row r="119" customFormat="false" ht="12.8" hidden="false" customHeight="false" outlineLevel="0" collapsed="false">
      <c r="A119" s="0" t="s">
        <v>27</v>
      </c>
      <c r="B119" s="0" t="s">
        <v>17</v>
      </c>
      <c r="C119" s="0" t="s">
        <v>78</v>
      </c>
      <c r="D119" s="59" t="str">
        <f aca="false">VLOOKUP(C119,Countries!$A$2:$B$11,2,0)</f>
        <v>Egypt</v>
      </c>
      <c r="E119" s="0" t="s">
        <v>50</v>
      </c>
      <c r="F119" s="59" t="str">
        <f aca="false">VLOOKUP(E119,Models!$A$2:$B$13,2,0)</f>
        <v>50-inch 4K TV</v>
      </c>
      <c r="G119" s="9" t="n">
        <v>37</v>
      </c>
      <c r="H119" s="9" t="n">
        <v>477300</v>
      </c>
      <c r="I119" s="0" t="s">
        <v>80</v>
      </c>
    </row>
    <row r="120" customFormat="false" ht="12.8" hidden="false" customHeight="false" outlineLevel="0" collapsed="false">
      <c r="A120" s="0" t="s">
        <v>27</v>
      </c>
      <c r="B120" s="0" t="s">
        <v>17</v>
      </c>
      <c r="C120" s="0" t="s">
        <v>78</v>
      </c>
      <c r="D120" s="59" t="str">
        <f aca="false">VLOOKUP(C120,Countries!$A$2:$B$11,2,0)</f>
        <v>Egypt</v>
      </c>
      <c r="E120" s="0" t="s">
        <v>43</v>
      </c>
      <c r="F120" s="59" t="str">
        <f aca="false">VLOOKUP(E120,Models!$A$2:$B$13,2,0)</f>
        <v>32-inch HD TV</v>
      </c>
      <c r="G120" s="9" t="n">
        <v>14</v>
      </c>
      <c r="H120" s="9" t="n">
        <v>67760</v>
      </c>
      <c r="I120" s="0" t="s">
        <v>80</v>
      </c>
    </row>
    <row r="121" customFormat="false" ht="12.8" hidden="false" customHeight="false" outlineLevel="0" collapsed="false">
      <c r="A121" s="0" t="s">
        <v>27</v>
      </c>
      <c r="B121" s="0" t="s">
        <v>17</v>
      </c>
      <c r="C121" s="0" t="s">
        <v>78</v>
      </c>
      <c r="D121" s="59" t="str">
        <f aca="false">VLOOKUP(C121,Countries!$A$2:$B$11,2,0)</f>
        <v>Egypt</v>
      </c>
      <c r="E121" s="0" t="s">
        <v>47</v>
      </c>
      <c r="F121" s="59" t="str">
        <f aca="false">VLOOKUP(E121,Models!$A$2:$B$13,2,0)</f>
        <v>32-inch Smart TV</v>
      </c>
      <c r="G121" s="9" t="n">
        <v>65</v>
      </c>
      <c r="H121" s="9" t="n">
        <v>370500</v>
      </c>
      <c r="I121" s="0" t="s">
        <v>80</v>
      </c>
    </row>
    <row r="122" customFormat="false" ht="12.8" hidden="false" customHeight="false" outlineLevel="0" collapsed="false">
      <c r="A122" s="0" t="s">
        <v>27</v>
      </c>
      <c r="B122" s="0" t="s">
        <v>17</v>
      </c>
      <c r="C122" s="0" t="s">
        <v>78</v>
      </c>
      <c r="D122" s="59" t="str">
        <f aca="false">VLOOKUP(C122,Countries!$A$2:$B$11,2,0)</f>
        <v>Egypt</v>
      </c>
      <c r="E122" s="0" t="s">
        <v>47</v>
      </c>
      <c r="F122" s="59" t="str">
        <f aca="false">VLOOKUP(E122,Models!$A$2:$B$13,2,0)</f>
        <v>32-inch Smart TV</v>
      </c>
      <c r="G122" s="9" t="n">
        <v>66</v>
      </c>
      <c r="H122" s="9" t="n">
        <v>376200</v>
      </c>
      <c r="I122" s="0" t="s">
        <v>80</v>
      </c>
    </row>
    <row r="123" customFormat="false" ht="12.8" hidden="false" customHeight="false" outlineLevel="0" collapsed="false">
      <c r="A123" s="0" t="s">
        <v>27</v>
      </c>
      <c r="B123" s="0" t="s">
        <v>17</v>
      </c>
      <c r="C123" s="0" t="s">
        <v>78</v>
      </c>
      <c r="D123" s="59" t="str">
        <f aca="false">VLOOKUP(C123,Countries!$A$2:$B$11,2,0)</f>
        <v>Egypt</v>
      </c>
      <c r="E123" s="0" t="s">
        <v>43</v>
      </c>
      <c r="F123" s="59" t="str">
        <f aca="false">VLOOKUP(E123,Models!$A$2:$B$13,2,0)</f>
        <v>32-inch HD TV</v>
      </c>
      <c r="G123" s="9" t="n">
        <v>15</v>
      </c>
      <c r="H123" s="9" t="n">
        <v>72600</v>
      </c>
      <c r="I123" s="0" t="s">
        <v>80</v>
      </c>
    </row>
    <row r="124" customFormat="false" ht="12.8" hidden="false" customHeight="false" outlineLevel="0" collapsed="false">
      <c r="A124" s="0" t="s">
        <v>27</v>
      </c>
      <c r="B124" s="0" t="s">
        <v>17</v>
      </c>
      <c r="C124" s="0" t="s">
        <v>78</v>
      </c>
      <c r="D124" s="59" t="str">
        <f aca="false">VLOOKUP(C124,Countries!$A$2:$B$11,2,0)</f>
        <v>Egypt</v>
      </c>
      <c r="E124" s="0" t="s">
        <v>45</v>
      </c>
      <c r="F124" s="59" t="str">
        <f aca="false">VLOOKUP(E124,Models!$A$2:$B$13,2,0)</f>
        <v>40-inch Full HD TV</v>
      </c>
      <c r="G124" s="9" t="n">
        <v>112</v>
      </c>
      <c r="H124" s="9" t="n">
        <v>861280</v>
      </c>
      <c r="I124" s="0" t="s">
        <v>80</v>
      </c>
    </row>
    <row r="125" customFormat="false" ht="12.8" hidden="false" customHeight="false" outlineLevel="0" collapsed="false">
      <c r="A125" s="0" t="s">
        <v>27</v>
      </c>
      <c r="B125" s="0" t="s">
        <v>17</v>
      </c>
      <c r="C125" s="0" t="s">
        <v>78</v>
      </c>
      <c r="D125" s="59" t="str">
        <f aca="false">VLOOKUP(C125,Countries!$A$2:$B$11,2,0)</f>
        <v>Egypt</v>
      </c>
      <c r="E125" s="0" t="s">
        <v>43</v>
      </c>
      <c r="F125" s="59" t="str">
        <f aca="false">VLOOKUP(E125,Models!$A$2:$B$13,2,0)</f>
        <v>32-inch HD TV</v>
      </c>
      <c r="G125" s="9" t="n">
        <v>14</v>
      </c>
      <c r="H125" s="9" t="n">
        <v>67760</v>
      </c>
      <c r="I125" s="0" t="s">
        <v>80</v>
      </c>
    </row>
    <row r="126" customFormat="false" ht="12.8" hidden="false" customHeight="false" outlineLevel="0" collapsed="false">
      <c r="A126" s="0" t="s">
        <v>27</v>
      </c>
      <c r="B126" s="0" t="s">
        <v>17</v>
      </c>
      <c r="C126" s="0" t="s">
        <v>78</v>
      </c>
      <c r="D126" s="59" t="str">
        <f aca="false">VLOOKUP(C126,Countries!$A$2:$B$11,2,0)</f>
        <v>Egypt</v>
      </c>
      <c r="E126" s="0" t="s">
        <v>48</v>
      </c>
      <c r="F126" s="59" t="str">
        <f aca="false">VLOOKUP(E126,Models!$A$2:$B$13,2,0)</f>
        <v>55-inch QLED TV</v>
      </c>
      <c r="G126" s="9" t="n">
        <v>144</v>
      </c>
      <c r="H126" s="9" t="n">
        <v>2784960</v>
      </c>
      <c r="I126" s="0" t="s">
        <v>80</v>
      </c>
    </row>
    <row r="127" customFormat="false" ht="12.8" hidden="false" customHeight="false" outlineLevel="0" collapsed="false">
      <c r="A127" s="0" t="s">
        <v>27</v>
      </c>
      <c r="B127" s="0" t="s">
        <v>17</v>
      </c>
      <c r="C127" s="0" t="s">
        <v>78</v>
      </c>
      <c r="D127" s="59" t="str">
        <f aca="false">VLOOKUP(C127,Countries!$A$2:$B$11,2,0)</f>
        <v>Egypt</v>
      </c>
      <c r="E127" s="0" t="s">
        <v>41</v>
      </c>
      <c r="F127" s="59" t="str">
        <f aca="false">VLOOKUP(E127,Models!$A$2:$B$13,2,0)</f>
        <v>75-inch 4K TV</v>
      </c>
      <c r="G127" s="9" t="n">
        <v>43</v>
      </c>
      <c r="H127" s="9" t="n">
        <v>1663670</v>
      </c>
      <c r="I127" s="0" t="s">
        <v>80</v>
      </c>
    </row>
    <row r="128" customFormat="false" ht="12.8" hidden="false" customHeight="false" outlineLevel="0" collapsed="false">
      <c r="A128" s="0" t="s">
        <v>27</v>
      </c>
      <c r="B128" s="0" t="s">
        <v>17</v>
      </c>
      <c r="C128" s="0" t="s">
        <v>78</v>
      </c>
      <c r="D128" s="59" t="str">
        <f aca="false">VLOOKUP(C128,Countries!$A$2:$B$11,2,0)</f>
        <v>Egypt</v>
      </c>
      <c r="E128" s="0" t="s">
        <v>44</v>
      </c>
      <c r="F128" s="59" t="str">
        <f aca="false">VLOOKUP(E128,Models!$A$2:$B$13,2,0)</f>
        <v>55-inch 4K TV</v>
      </c>
      <c r="G128" s="9" t="n">
        <v>72</v>
      </c>
      <c r="H128" s="9" t="n">
        <v>1098000</v>
      </c>
      <c r="I128" s="0" t="s">
        <v>80</v>
      </c>
    </row>
    <row r="129" customFormat="false" ht="12.8" hidden="false" customHeight="false" outlineLevel="0" collapsed="false">
      <c r="A129" s="0" t="s">
        <v>27</v>
      </c>
      <c r="B129" s="0" t="s">
        <v>17</v>
      </c>
      <c r="C129" s="0" t="s">
        <v>78</v>
      </c>
      <c r="D129" s="59" t="str">
        <f aca="false">VLOOKUP(C129,Countries!$A$2:$B$11,2,0)</f>
        <v>Egypt</v>
      </c>
      <c r="E129" s="0" t="s">
        <v>46</v>
      </c>
      <c r="F129" s="59" t="str">
        <f aca="false">VLOOKUP(E129,Models!$A$2:$B$13,2,0)</f>
        <v>43-inch Full HD TV</v>
      </c>
      <c r="G129" s="9" t="n">
        <v>54</v>
      </c>
      <c r="H129" s="9" t="n">
        <v>462240</v>
      </c>
      <c r="I129" s="0" t="s">
        <v>80</v>
      </c>
    </row>
    <row r="130" customFormat="false" ht="12.8" hidden="false" customHeight="false" outlineLevel="0" collapsed="false">
      <c r="A130" s="0" t="s">
        <v>27</v>
      </c>
      <c r="B130" s="0" t="s">
        <v>17</v>
      </c>
      <c r="C130" s="0" t="s">
        <v>78</v>
      </c>
      <c r="D130" s="59" t="str">
        <f aca="false">VLOOKUP(C130,Countries!$A$2:$B$11,2,0)</f>
        <v>Egypt</v>
      </c>
      <c r="E130" s="0" t="s">
        <v>51</v>
      </c>
      <c r="F130" s="59" t="str">
        <f aca="false">VLOOKUP(E130,Models!$A$2:$B$13,2,0)</f>
        <v>24-inch HD TV</v>
      </c>
      <c r="G130" s="9" t="n">
        <v>134</v>
      </c>
      <c r="H130" s="9" t="n">
        <v>482400</v>
      </c>
      <c r="I130" s="0" t="s">
        <v>80</v>
      </c>
    </row>
    <row r="131" customFormat="false" ht="12.8" hidden="false" customHeight="false" outlineLevel="0" collapsed="false">
      <c r="A131" s="0" t="s">
        <v>27</v>
      </c>
      <c r="B131" s="0" t="s">
        <v>17</v>
      </c>
      <c r="C131" s="0" t="s">
        <v>78</v>
      </c>
      <c r="D131" s="59" t="str">
        <f aca="false">VLOOKUP(C131,Countries!$A$2:$B$11,2,0)</f>
        <v>Egypt</v>
      </c>
      <c r="E131" s="0" t="s">
        <v>44</v>
      </c>
      <c r="F131" s="59" t="str">
        <f aca="false">VLOOKUP(E131,Models!$A$2:$B$13,2,0)</f>
        <v>55-inch 4K TV</v>
      </c>
      <c r="G131" s="9" t="n">
        <v>73</v>
      </c>
      <c r="H131" s="9" t="n">
        <v>1113250</v>
      </c>
      <c r="I131" s="0" t="s">
        <v>80</v>
      </c>
    </row>
    <row r="132" customFormat="false" ht="12.8" hidden="false" customHeight="false" outlineLevel="0" collapsed="false">
      <c r="A132" s="0" t="s">
        <v>27</v>
      </c>
      <c r="B132" s="0" t="s">
        <v>17</v>
      </c>
      <c r="C132" s="0" t="s">
        <v>78</v>
      </c>
      <c r="D132" s="59" t="str">
        <f aca="false">VLOOKUP(C132,Countries!$A$2:$B$11,2,0)</f>
        <v>Egypt</v>
      </c>
      <c r="E132" s="0" t="s">
        <v>50</v>
      </c>
      <c r="F132" s="59" t="str">
        <f aca="false">VLOOKUP(E132,Models!$A$2:$B$13,2,0)</f>
        <v>50-inch 4K TV</v>
      </c>
      <c r="G132" s="9" t="n">
        <v>37</v>
      </c>
      <c r="H132" s="9" t="n">
        <v>477300</v>
      </c>
      <c r="I132" s="0" t="s">
        <v>80</v>
      </c>
    </row>
    <row r="133" customFormat="false" ht="12.8" hidden="false" customHeight="false" outlineLevel="0" collapsed="false">
      <c r="A133" s="0" t="s">
        <v>27</v>
      </c>
      <c r="B133" s="0" t="s">
        <v>17</v>
      </c>
      <c r="C133" s="0" t="s">
        <v>78</v>
      </c>
      <c r="D133" s="59" t="str">
        <f aca="false">VLOOKUP(C133,Countries!$A$2:$B$11,2,0)</f>
        <v>Egypt</v>
      </c>
      <c r="E133" s="0" t="s">
        <v>42</v>
      </c>
      <c r="F133" s="59" t="str">
        <f aca="false">VLOOKUP(E133,Models!$A$2:$B$13,2,0)</f>
        <v>65-inch QLED TV</v>
      </c>
      <c r="G133" s="9" t="n">
        <v>79</v>
      </c>
      <c r="H133" s="9" t="n">
        <v>2400020</v>
      </c>
      <c r="I133" s="0" t="s">
        <v>80</v>
      </c>
    </row>
    <row r="134" customFormat="false" ht="12.8" hidden="false" customHeight="false" outlineLevel="0" collapsed="false">
      <c r="A134" s="0" t="s">
        <v>23</v>
      </c>
      <c r="B134" s="0" t="s">
        <v>18</v>
      </c>
      <c r="C134" s="0" t="s">
        <v>78</v>
      </c>
      <c r="D134" s="59" t="str">
        <f aca="false">VLOOKUP(C134,Countries!$A$2:$B$11,2,0)</f>
        <v>Egypt</v>
      </c>
      <c r="E134" s="0" t="s">
        <v>51</v>
      </c>
      <c r="F134" s="59" t="str">
        <f aca="false">VLOOKUP(E134,Models!$A$2:$B$13,2,0)</f>
        <v>24-inch HD TV</v>
      </c>
      <c r="G134" s="9" t="n">
        <v>83</v>
      </c>
      <c r="H134" s="9" t="n">
        <v>298800</v>
      </c>
      <c r="I134" s="0" t="s">
        <v>81</v>
      </c>
    </row>
    <row r="135" customFormat="false" ht="12.8" hidden="false" customHeight="false" outlineLevel="0" collapsed="false">
      <c r="A135" s="0" t="s">
        <v>23</v>
      </c>
      <c r="B135" s="0" t="s">
        <v>18</v>
      </c>
      <c r="C135" s="0" t="s">
        <v>78</v>
      </c>
      <c r="D135" s="59" t="str">
        <f aca="false">VLOOKUP(C135,Countries!$A$2:$B$11,2,0)</f>
        <v>Egypt</v>
      </c>
      <c r="E135" s="0" t="s">
        <v>48</v>
      </c>
      <c r="F135" s="59" t="str">
        <f aca="false">VLOOKUP(E135,Models!$A$2:$B$13,2,0)</f>
        <v>55-inch QLED TV</v>
      </c>
      <c r="G135" s="9" t="n">
        <v>83</v>
      </c>
      <c r="H135" s="9" t="n">
        <v>1605220</v>
      </c>
      <c r="I135" s="0" t="s">
        <v>81</v>
      </c>
    </row>
    <row r="136" customFormat="false" ht="12.8" hidden="false" customHeight="false" outlineLevel="0" collapsed="false">
      <c r="A136" s="0" t="s">
        <v>23</v>
      </c>
      <c r="B136" s="0" t="s">
        <v>18</v>
      </c>
      <c r="C136" s="0" t="s">
        <v>78</v>
      </c>
      <c r="D136" s="59" t="str">
        <f aca="false">VLOOKUP(C136,Countries!$A$2:$B$11,2,0)</f>
        <v>Egypt</v>
      </c>
      <c r="E136" s="0" t="s">
        <v>49</v>
      </c>
      <c r="F136" s="59" t="str">
        <f aca="false">VLOOKUP(E136,Models!$A$2:$B$13,2,0)</f>
        <v>43-inch Smart TV</v>
      </c>
      <c r="G136" s="9" t="n">
        <v>136</v>
      </c>
      <c r="H136" s="9" t="n">
        <v>1315120</v>
      </c>
      <c r="I136" s="0" t="s">
        <v>81</v>
      </c>
    </row>
    <row r="137" customFormat="false" ht="12.8" hidden="false" customHeight="false" outlineLevel="0" collapsed="false">
      <c r="A137" s="0" t="s">
        <v>23</v>
      </c>
      <c r="B137" s="0" t="s">
        <v>18</v>
      </c>
      <c r="C137" s="0" t="s">
        <v>78</v>
      </c>
      <c r="D137" s="59" t="str">
        <f aca="false">VLOOKUP(C137,Countries!$A$2:$B$11,2,0)</f>
        <v>Egypt</v>
      </c>
      <c r="E137" s="0" t="s">
        <v>43</v>
      </c>
      <c r="F137" s="59" t="str">
        <f aca="false">VLOOKUP(E137,Models!$A$2:$B$13,2,0)</f>
        <v>32-inch HD TV</v>
      </c>
      <c r="G137" s="9" t="n">
        <v>188</v>
      </c>
      <c r="H137" s="9" t="n">
        <v>909920</v>
      </c>
      <c r="I137" s="0" t="s">
        <v>81</v>
      </c>
    </row>
    <row r="138" customFormat="false" ht="12.8" hidden="false" customHeight="false" outlineLevel="0" collapsed="false">
      <c r="A138" s="0" t="s">
        <v>23</v>
      </c>
      <c r="B138" s="0" t="s">
        <v>18</v>
      </c>
      <c r="C138" s="0" t="s">
        <v>78</v>
      </c>
      <c r="D138" s="59" t="str">
        <f aca="false">VLOOKUP(C138,Countries!$A$2:$B$11,2,0)</f>
        <v>Egypt</v>
      </c>
      <c r="E138" s="0" t="s">
        <v>42</v>
      </c>
      <c r="F138" s="59" t="str">
        <f aca="false">VLOOKUP(E138,Models!$A$2:$B$13,2,0)</f>
        <v>65-inch QLED TV</v>
      </c>
      <c r="G138" s="9" t="n">
        <v>56</v>
      </c>
      <c r="H138" s="9" t="n">
        <v>1701280</v>
      </c>
      <c r="I138" s="0" t="s">
        <v>81</v>
      </c>
    </row>
    <row r="139" customFormat="false" ht="12.8" hidden="false" customHeight="false" outlineLevel="0" collapsed="false">
      <c r="A139" s="0" t="s">
        <v>23</v>
      </c>
      <c r="B139" s="0" t="s">
        <v>18</v>
      </c>
      <c r="C139" s="0" t="s">
        <v>78</v>
      </c>
      <c r="D139" s="59" t="str">
        <f aca="false">VLOOKUP(C139,Countries!$A$2:$B$11,2,0)</f>
        <v>Egypt</v>
      </c>
      <c r="E139" s="0" t="s">
        <v>51</v>
      </c>
      <c r="F139" s="59" t="str">
        <f aca="false">VLOOKUP(E139,Models!$A$2:$B$13,2,0)</f>
        <v>24-inch HD TV</v>
      </c>
      <c r="G139" s="9" t="n">
        <v>83</v>
      </c>
      <c r="H139" s="9" t="n">
        <v>298800</v>
      </c>
      <c r="I139" s="0" t="s">
        <v>81</v>
      </c>
    </row>
    <row r="140" customFormat="false" ht="12.8" hidden="false" customHeight="false" outlineLevel="0" collapsed="false">
      <c r="A140" s="0" t="s">
        <v>23</v>
      </c>
      <c r="B140" s="0" t="s">
        <v>18</v>
      </c>
      <c r="C140" s="0" t="s">
        <v>78</v>
      </c>
      <c r="D140" s="59" t="str">
        <f aca="false">VLOOKUP(C140,Countries!$A$2:$B$11,2,0)</f>
        <v>Egypt</v>
      </c>
      <c r="E140" s="0" t="s">
        <v>46</v>
      </c>
      <c r="F140" s="59" t="str">
        <f aca="false">VLOOKUP(E140,Models!$A$2:$B$13,2,0)</f>
        <v>43-inch Full HD TV</v>
      </c>
      <c r="G140" s="9" t="n">
        <v>363</v>
      </c>
      <c r="H140" s="9" t="n">
        <v>3107280</v>
      </c>
      <c r="I140" s="0" t="s">
        <v>81</v>
      </c>
    </row>
    <row r="141" customFormat="false" ht="12.8" hidden="false" customHeight="false" outlineLevel="0" collapsed="false">
      <c r="A141" s="0" t="s">
        <v>23</v>
      </c>
      <c r="B141" s="0" t="s">
        <v>18</v>
      </c>
      <c r="C141" s="0" t="s">
        <v>78</v>
      </c>
      <c r="D141" s="59" t="str">
        <f aca="false">VLOOKUP(C141,Countries!$A$2:$B$11,2,0)</f>
        <v>Egypt</v>
      </c>
      <c r="E141" s="0" t="s">
        <v>40</v>
      </c>
      <c r="F141" s="59" t="str">
        <f aca="false">VLOOKUP(E141,Models!$A$2:$B$13,2,0)</f>
        <v>65-inch 4K TV</v>
      </c>
      <c r="G141" s="9" t="n">
        <v>55</v>
      </c>
      <c r="H141" s="9" t="n">
        <v>1350250</v>
      </c>
      <c r="I141" s="0" t="s">
        <v>81</v>
      </c>
    </row>
    <row r="142" customFormat="false" ht="12.8" hidden="false" customHeight="false" outlineLevel="0" collapsed="false">
      <c r="A142" s="0" t="s">
        <v>23</v>
      </c>
      <c r="B142" s="0" t="s">
        <v>18</v>
      </c>
      <c r="C142" s="0" t="s">
        <v>78</v>
      </c>
      <c r="D142" s="59" t="str">
        <f aca="false">VLOOKUP(C142,Countries!$A$2:$B$11,2,0)</f>
        <v>Egypt</v>
      </c>
      <c r="E142" s="0" t="s">
        <v>45</v>
      </c>
      <c r="F142" s="59" t="str">
        <f aca="false">VLOOKUP(E142,Models!$A$2:$B$13,2,0)</f>
        <v>40-inch Full HD TV</v>
      </c>
      <c r="G142" s="9" t="n">
        <v>73</v>
      </c>
      <c r="H142" s="9" t="n">
        <v>561370</v>
      </c>
      <c r="I142" s="0" t="s">
        <v>81</v>
      </c>
    </row>
    <row r="143" customFormat="false" ht="12.8" hidden="false" customHeight="false" outlineLevel="0" collapsed="false">
      <c r="A143" s="0" t="s">
        <v>23</v>
      </c>
      <c r="B143" s="0" t="s">
        <v>18</v>
      </c>
      <c r="C143" s="0" t="s">
        <v>78</v>
      </c>
      <c r="D143" s="59" t="str">
        <f aca="false">VLOOKUP(C143,Countries!$A$2:$B$11,2,0)</f>
        <v>Egypt</v>
      </c>
      <c r="E143" s="0" t="s">
        <v>41</v>
      </c>
      <c r="F143" s="59" t="str">
        <f aca="false">VLOOKUP(E143,Models!$A$2:$B$13,2,0)</f>
        <v>75-inch 4K TV</v>
      </c>
      <c r="G143" s="9" t="n">
        <v>12</v>
      </c>
      <c r="H143" s="9" t="n">
        <v>464280</v>
      </c>
      <c r="I143" s="0" t="s">
        <v>81</v>
      </c>
    </row>
    <row r="144" customFormat="false" ht="12.8" hidden="false" customHeight="false" outlineLevel="0" collapsed="false">
      <c r="A144" s="0" t="s">
        <v>23</v>
      </c>
      <c r="B144" s="0" t="s">
        <v>18</v>
      </c>
      <c r="C144" s="0" t="s">
        <v>78</v>
      </c>
      <c r="D144" s="59" t="str">
        <f aca="false">VLOOKUP(C144,Countries!$A$2:$B$11,2,0)</f>
        <v>Egypt</v>
      </c>
      <c r="E144" s="0" t="s">
        <v>43</v>
      </c>
      <c r="F144" s="59" t="str">
        <f aca="false">VLOOKUP(E144,Models!$A$2:$B$13,2,0)</f>
        <v>32-inch HD TV</v>
      </c>
      <c r="G144" s="9" t="n">
        <v>188</v>
      </c>
      <c r="H144" s="9" t="n">
        <v>909920</v>
      </c>
      <c r="I144" s="0" t="s">
        <v>81</v>
      </c>
    </row>
    <row r="145" customFormat="false" ht="12.8" hidden="false" customHeight="false" outlineLevel="0" collapsed="false">
      <c r="A145" s="0" t="s">
        <v>23</v>
      </c>
      <c r="B145" s="0" t="s">
        <v>18</v>
      </c>
      <c r="C145" s="0" t="s">
        <v>78</v>
      </c>
      <c r="D145" s="59" t="str">
        <f aca="false">VLOOKUP(C145,Countries!$A$2:$B$11,2,0)</f>
        <v>Egypt</v>
      </c>
      <c r="E145" s="0" t="s">
        <v>44</v>
      </c>
      <c r="F145" s="59" t="str">
        <f aca="false">VLOOKUP(E145,Models!$A$2:$B$13,2,0)</f>
        <v>55-inch 4K TV</v>
      </c>
      <c r="G145" s="9" t="n">
        <v>241</v>
      </c>
      <c r="H145" s="9" t="n">
        <v>3675250</v>
      </c>
      <c r="I145" s="0" t="s">
        <v>81</v>
      </c>
    </row>
    <row r="146" customFormat="false" ht="12.8" hidden="false" customHeight="false" outlineLevel="0" collapsed="false">
      <c r="A146" s="0" t="s">
        <v>23</v>
      </c>
      <c r="B146" s="0" t="s">
        <v>18</v>
      </c>
      <c r="C146" s="0" t="s">
        <v>78</v>
      </c>
      <c r="D146" s="59" t="str">
        <f aca="false">VLOOKUP(C146,Countries!$A$2:$B$11,2,0)</f>
        <v>Egypt</v>
      </c>
      <c r="E146" s="0" t="s">
        <v>49</v>
      </c>
      <c r="F146" s="59" t="str">
        <f aca="false">VLOOKUP(E146,Models!$A$2:$B$13,2,0)</f>
        <v>43-inch Smart TV</v>
      </c>
      <c r="G146" s="9" t="n">
        <v>135</v>
      </c>
      <c r="H146" s="9" t="n">
        <v>1305450</v>
      </c>
      <c r="I146" s="0" t="s">
        <v>81</v>
      </c>
    </row>
    <row r="147" customFormat="false" ht="12.8" hidden="false" customHeight="false" outlineLevel="0" collapsed="false">
      <c r="A147" s="0" t="s">
        <v>23</v>
      </c>
      <c r="B147" s="0" t="s">
        <v>18</v>
      </c>
      <c r="C147" s="0" t="s">
        <v>78</v>
      </c>
      <c r="D147" s="59" t="str">
        <f aca="false">VLOOKUP(C147,Countries!$A$2:$B$11,2,0)</f>
        <v>Egypt</v>
      </c>
      <c r="E147" s="0" t="s">
        <v>40</v>
      </c>
      <c r="F147" s="59" t="str">
        <f aca="false">VLOOKUP(E147,Models!$A$2:$B$13,2,0)</f>
        <v>65-inch 4K TV</v>
      </c>
      <c r="G147" s="9" t="n">
        <v>56</v>
      </c>
      <c r="H147" s="9" t="n">
        <v>1374800</v>
      </c>
      <c r="I147" s="0" t="s">
        <v>81</v>
      </c>
    </row>
    <row r="148" customFormat="false" ht="12.8" hidden="false" customHeight="false" outlineLevel="0" collapsed="false">
      <c r="A148" s="0" t="s">
        <v>23</v>
      </c>
      <c r="B148" s="0" t="s">
        <v>18</v>
      </c>
      <c r="C148" s="0" t="s">
        <v>78</v>
      </c>
      <c r="D148" s="59" t="str">
        <f aca="false">VLOOKUP(C148,Countries!$A$2:$B$11,2,0)</f>
        <v>Egypt</v>
      </c>
      <c r="E148" s="0" t="s">
        <v>42</v>
      </c>
      <c r="F148" s="59" t="str">
        <f aca="false">VLOOKUP(E148,Models!$A$2:$B$13,2,0)</f>
        <v>65-inch QLED TV</v>
      </c>
      <c r="G148" s="9" t="n">
        <v>56</v>
      </c>
      <c r="H148" s="9" t="n">
        <v>1701280</v>
      </c>
      <c r="I148" s="0" t="s">
        <v>81</v>
      </c>
    </row>
    <row r="149" customFormat="false" ht="12.8" hidden="false" customHeight="false" outlineLevel="0" collapsed="false">
      <c r="A149" s="0" t="s">
        <v>23</v>
      </c>
      <c r="B149" s="0" t="s">
        <v>18</v>
      </c>
      <c r="C149" s="0" t="s">
        <v>78</v>
      </c>
      <c r="D149" s="59" t="str">
        <f aca="false">VLOOKUP(C149,Countries!$A$2:$B$11,2,0)</f>
        <v>Egypt</v>
      </c>
      <c r="E149" s="0" t="s">
        <v>47</v>
      </c>
      <c r="F149" s="59" t="str">
        <f aca="false">VLOOKUP(E149,Models!$A$2:$B$13,2,0)</f>
        <v>32-inch Smart TV</v>
      </c>
      <c r="G149" s="9" t="n">
        <v>80</v>
      </c>
      <c r="H149" s="9" t="n">
        <v>456000</v>
      </c>
      <c r="I149" s="0" t="s">
        <v>81</v>
      </c>
    </row>
    <row r="150" customFormat="false" ht="12.8" hidden="false" customHeight="false" outlineLevel="0" collapsed="false">
      <c r="A150" s="0" t="s">
        <v>23</v>
      </c>
      <c r="B150" s="0" t="s">
        <v>18</v>
      </c>
      <c r="C150" s="0" t="s">
        <v>78</v>
      </c>
      <c r="D150" s="59" t="str">
        <f aca="false">VLOOKUP(C150,Countries!$A$2:$B$11,2,0)</f>
        <v>Egypt</v>
      </c>
      <c r="E150" s="0" t="s">
        <v>41</v>
      </c>
      <c r="F150" s="59" t="str">
        <f aca="false">VLOOKUP(E150,Models!$A$2:$B$13,2,0)</f>
        <v>75-inch 4K TV</v>
      </c>
      <c r="G150" s="9" t="n">
        <v>12</v>
      </c>
      <c r="H150" s="9" t="n">
        <v>464280</v>
      </c>
      <c r="I150" s="0" t="s">
        <v>81</v>
      </c>
    </row>
    <row r="151" customFormat="false" ht="12.8" hidden="false" customHeight="false" outlineLevel="0" collapsed="false">
      <c r="A151" s="0" t="s">
        <v>25</v>
      </c>
      <c r="B151" s="0" t="s">
        <v>18</v>
      </c>
      <c r="C151" s="0" t="s">
        <v>78</v>
      </c>
      <c r="D151" s="59" t="str">
        <f aca="false">VLOOKUP(C151,Countries!$A$2:$B$11,2,0)</f>
        <v>Egypt</v>
      </c>
      <c r="E151" s="0" t="s">
        <v>41</v>
      </c>
      <c r="F151" s="59" t="str">
        <f aca="false">VLOOKUP(E151,Models!$A$2:$B$13,2,0)</f>
        <v>75-inch 4K TV</v>
      </c>
      <c r="G151" s="9" t="n">
        <v>29</v>
      </c>
      <c r="H151" s="9" t="n">
        <v>1122010</v>
      </c>
      <c r="I151" s="0" t="s">
        <v>81</v>
      </c>
    </row>
    <row r="152" customFormat="false" ht="12.8" hidden="false" customHeight="false" outlineLevel="0" collapsed="false">
      <c r="A152" s="0" t="s">
        <v>25</v>
      </c>
      <c r="B152" s="0" t="s">
        <v>18</v>
      </c>
      <c r="C152" s="0" t="s">
        <v>78</v>
      </c>
      <c r="D152" s="59" t="str">
        <f aca="false">VLOOKUP(C152,Countries!$A$2:$B$11,2,0)</f>
        <v>Egypt</v>
      </c>
      <c r="E152" s="0" t="s">
        <v>43</v>
      </c>
      <c r="F152" s="59" t="str">
        <f aca="false">VLOOKUP(E152,Models!$A$2:$B$13,2,0)</f>
        <v>32-inch HD TV</v>
      </c>
      <c r="G152" s="9" t="n">
        <v>7</v>
      </c>
      <c r="H152" s="9" t="n">
        <v>33880</v>
      </c>
      <c r="I152" s="0" t="s">
        <v>81</v>
      </c>
    </row>
    <row r="153" customFormat="false" ht="12.8" hidden="false" customHeight="false" outlineLevel="0" collapsed="false">
      <c r="A153" s="0" t="s">
        <v>25</v>
      </c>
      <c r="B153" s="0" t="s">
        <v>18</v>
      </c>
      <c r="C153" s="0" t="s">
        <v>78</v>
      </c>
      <c r="D153" s="59" t="str">
        <f aca="false">VLOOKUP(C153,Countries!$A$2:$B$11,2,0)</f>
        <v>Egypt</v>
      </c>
      <c r="E153" s="0" t="s">
        <v>43</v>
      </c>
      <c r="F153" s="59" t="str">
        <f aca="false">VLOOKUP(E153,Models!$A$2:$B$13,2,0)</f>
        <v>32-inch HD TV</v>
      </c>
      <c r="G153" s="9" t="n">
        <v>7</v>
      </c>
      <c r="H153" s="9" t="n">
        <v>33880</v>
      </c>
      <c r="I153" s="0" t="s">
        <v>81</v>
      </c>
    </row>
    <row r="154" customFormat="false" ht="12.8" hidden="false" customHeight="false" outlineLevel="0" collapsed="false">
      <c r="A154" s="0" t="s">
        <v>25</v>
      </c>
      <c r="B154" s="0" t="s">
        <v>18</v>
      </c>
      <c r="C154" s="0" t="s">
        <v>78</v>
      </c>
      <c r="D154" s="59" t="str">
        <f aca="false">VLOOKUP(C154,Countries!$A$2:$B$11,2,0)</f>
        <v>Egypt</v>
      </c>
      <c r="E154" s="0" t="s">
        <v>50</v>
      </c>
      <c r="F154" s="59" t="str">
        <f aca="false">VLOOKUP(E154,Models!$A$2:$B$13,2,0)</f>
        <v>50-inch 4K TV</v>
      </c>
      <c r="G154" s="9" t="n">
        <v>79</v>
      </c>
      <c r="H154" s="9" t="n">
        <v>1019100</v>
      </c>
      <c r="I154" s="0" t="s">
        <v>81</v>
      </c>
    </row>
    <row r="155" customFormat="false" ht="12.8" hidden="false" customHeight="false" outlineLevel="0" collapsed="false">
      <c r="A155" s="0" t="s">
        <v>25</v>
      </c>
      <c r="B155" s="0" t="s">
        <v>18</v>
      </c>
      <c r="C155" s="0" t="s">
        <v>78</v>
      </c>
      <c r="D155" s="59" t="str">
        <f aca="false">VLOOKUP(C155,Countries!$A$2:$B$11,2,0)</f>
        <v>Egypt</v>
      </c>
      <c r="E155" s="0" t="s">
        <v>45</v>
      </c>
      <c r="F155" s="59" t="str">
        <f aca="false">VLOOKUP(E155,Models!$A$2:$B$13,2,0)</f>
        <v>40-inch Full HD TV</v>
      </c>
      <c r="G155" s="9" t="n">
        <v>176</v>
      </c>
      <c r="H155" s="9" t="n">
        <v>1353440</v>
      </c>
      <c r="I155" s="0" t="s">
        <v>81</v>
      </c>
    </row>
    <row r="156" customFormat="false" ht="12.8" hidden="false" customHeight="false" outlineLevel="0" collapsed="false">
      <c r="A156" s="0" t="s">
        <v>25</v>
      </c>
      <c r="B156" s="0" t="s">
        <v>18</v>
      </c>
      <c r="C156" s="0" t="s">
        <v>78</v>
      </c>
      <c r="D156" s="59" t="str">
        <f aca="false">VLOOKUP(C156,Countries!$A$2:$B$11,2,0)</f>
        <v>Egypt</v>
      </c>
      <c r="E156" s="0" t="s">
        <v>50</v>
      </c>
      <c r="F156" s="59" t="str">
        <f aca="false">VLOOKUP(E156,Models!$A$2:$B$13,2,0)</f>
        <v>50-inch 4K TV</v>
      </c>
      <c r="G156" s="9" t="n">
        <v>78</v>
      </c>
      <c r="H156" s="9" t="n">
        <v>1006200</v>
      </c>
      <c r="I156" s="0" t="s">
        <v>81</v>
      </c>
    </row>
    <row r="157" customFormat="false" ht="12.8" hidden="false" customHeight="false" outlineLevel="0" collapsed="false">
      <c r="A157" s="0" t="s">
        <v>25</v>
      </c>
      <c r="B157" s="0" t="s">
        <v>18</v>
      </c>
      <c r="C157" s="0" t="s">
        <v>78</v>
      </c>
      <c r="D157" s="59" t="str">
        <f aca="false">VLOOKUP(C157,Countries!$A$2:$B$11,2,0)</f>
        <v>Egypt</v>
      </c>
      <c r="E157" s="0" t="s">
        <v>44</v>
      </c>
      <c r="F157" s="59" t="str">
        <f aca="false">VLOOKUP(E157,Models!$A$2:$B$13,2,0)</f>
        <v>55-inch 4K TV</v>
      </c>
      <c r="G157" s="9" t="n">
        <v>183</v>
      </c>
      <c r="H157" s="9" t="n">
        <v>2790750</v>
      </c>
      <c r="I157" s="0" t="s">
        <v>81</v>
      </c>
    </row>
    <row r="158" customFormat="false" ht="12.8" hidden="false" customHeight="false" outlineLevel="0" collapsed="false">
      <c r="A158" s="0" t="s">
        <v>25</v>
      </c>
      <c r="B158" s="0" t="s">
        <v>18</v>
      </c>
      <c r="C158" s="0" t="s">
        <v>78</v>
      </c>
      <c r="D158" s="59" t="str">
        <f aca="false">VLOOKUP(C158,Countries!$A$2:$B$11,2,0)</f>
        <v>Egypt</v>
      </c>
      <c r="E158" s="0" t="s">
        <v>48</v>
      </c>
      <c r="F158" s="59" t="str">
        <f aca="false">VLOOKUP(E158,Models!$A$2:$B$13,2,0)</f>
        <v>55-inch QLED TV</v>
      </c>
      <c r="G158" s="9" t="n">
        <v>13</v>
      </c>
      <c r="H158" s="9" t="n">
        <v>251420</v>
      </c>
      <c r="I158" s="0" t="s">
        <v>81</v>
      </c>
    </row>
    <row r="159" customFormat="false" ht="12.8" hidden="false" customHeight="false" outlineLevel="0" collapsed="false">
      <c r="A159" s="0" t="s">
        <v>25</v>
      </c>
      <c r="B159" s="0" t="s">
        <v>18</v>
      </c>
      <c r="C159" s="0" t="s">
        <v>78</v>
      </c>
      <c r="D159" s="59" t="str">
        <f aca="false">VLOOKUP(C159,Countries!$A$2:$B$11,2,0)</f>
        <v>Egypt</v>
      </c>
      <c r="E159" s="0" t="s">
        <v>48</v>
      </c>
      <c r="F159" s="59" t="str">
        <f aca="false">VLOOKUP(E159,Models!$A$2:$B$13,2,0)</f>
        <v>55-inch QLED TV</v>
      </c>
      <c r="G159" s="9" t="n">
        <v>14</v>
      </c>
      <c r="H159" s="9" t="n">
        <v>270760</v>
      </c>
      <c r="I159" s="0" t="s">
        <v>81</v>
      </c>
    </row>
    <row r="160" customFormat="false" ht="12.8" hidden="false" customHeight="false" outlineLevel="0" collapsed="false">
      <c r="A160" s="0" t="s">
        <v>25</v>
      </c>
      <c r="B160" s="0" t="s">
        <v>18</v>
      </c>
      <c r="C160" s="0" t="s">
        <v>78</v>
      </c>
      <c r="D160" s="59" t="str">
        <f aca="false">VLOOKUP(C160,Countries!$A$2:$B$11,2,0)</f>
        <v>Egypt</v>
      </c>
      <c r="E160" s="0" t="s">
        <v>41</v>
      </c>
      <c r="F160" s="59" t="str">
        <f aca="false">VLOOKUP(E160,Models!$A$2:$B$13,2,0)</f>
        <v>75-inch 4K TV</v>
      </c>
      <c r="G160" s="9" t="n">
        <v>28</v>
      </c>
      <c r="H160" s="9" t="n">
        <v>1083320</v>
      </c>
      <c r="I160" s="0" t="s">
        <v>81</v>
      </c>
    </row>
    <row r="161" customFormat="false" ht="12.8" hidden="false" customHeight="false" outlineLevel="0" collapsed="false">
      <c r="A161" s="0" t="s">
        <v>25</v>
      </c>
      <c r="B161" s="0" t="s">
        <v>18</v>
      </c>
      <c r="C161" s="0" t="s">
        <v>78</v>
      </c>
      <c r="D161" s="59" t="str">
        <f aca="false">VLOOKUP(C161,Countries!$A$2:$B$11,2,0)</f>
        <v>Egypt</v>
      </c>
      <c r="E161" s="0" t="s">
        <v>40</v>
      </c>
      <c r="F161" s="59" t="str">
        <f aca="false">VLOOKUP(E161,Models!$A$2:$B$13,2,0)</f>
        <v>65-inch 4K TV</v>
      </c>
      <c r="G161" s="9" t="n">
        <v>8</v>
      </c>
      <c r="H161" s="9" t="n">
        <v>196400</v>
      </c>
      <c r="I161" s="0" t="s">
        <v>81</v>
      </c>
    </row>
    <row r="162" customFormat="false" ht="12.8" hidden="false" customHeight="false" outlineLevel="0" collapsed="false">
      <c r="A162" s="0" t="s">
        <v>25</v>
      </c>
      <c r="B162" s="0" t="s">
        <v>18</v>
      </c>
      <c r="C162" s="0" t="s">
        <v>78</v>
      </c>
      <c r="D162" s="59" t="str">
        <f aca="false">VLOOKUP(C162,Countries!$A$2:$B$11,2,0)</f>
        <v>Egypt</v>
      </c>
      <c r="E162" s="0" t="s">
        <v>47</v>
      </c>
      <c r="F162" s="59" t="str">
        <f aca="false">VLOOKUP(E162,Models!$A$2:$B$13,2,0)</f>
        <v>32-inch Smart TV</v>
      </c>
      <c r="G162" s="9" t="n">
        <v>409</v>
      </c>
      <c r="H162" s="9" t="n">
        <v>2331300</v>
      </c>
      <c r="I162" s="0" t="s">
        <v>81</v>
      </c>
    </row>
    <row r="163" customFormat="false" ht="12.8" hidden="false" customHeight="false" outlineLevel="0" collapsed="false">
      <c r="A163" s="0" t="s">
        <v>25</v>
      </c>
      <c r="B163" s="0" t="s">
        <v>18</v>
      </c>
      <c r="C163" s="0" t="s">
        <v>78</v>
      </c>
      <c r="D163" s="59" t="str">
        <f aca="false">VLOOKUP(C163,Countries!$A$2:$B$11,2,0)</f>
        <v>Egypt</v>
      </c>
      <c r="E163" s="0" t="s">
        <v>49</v>
      </c>
      <c r="F163" s="59" t="str">
        <f aca="false">VLOOKUP(E163,Models!$A$2:$B$13,2,0)</f>
        <v>43-inch Smart TV</v>
      </c>
      <c r="G163" s="9" t="n">
        <v>6</v>
      </c>
      <c r="H163" s="9" t="n">
        <v>58020</v>
      </c>
      <c r="I163" s="0" t="s">
        <v>81</v>
      </c>
    </row>
    <row r="164" customFormat="false" ht="12.8" hidden="false" customHeight="false" outlineLevel="0" collapsed="false">
      <c r="A164" s="0" t="s">
        <v>25</v>
      </c>
      <c r="B164" s="0" t="s">
        <v>18</v>
      </c>
      <c r="C164" s="0" t="s">
        <v>78</v>
      </c>
      <c r="D164" s="59" t="str">
        <f aca="false">VLOOKUP(C164,Countries!$A$2:$B$11,2,0)</f>
        <v>Egypt</v>
      </c>
      <c r="E164" s="0" t="s">
        <v>45</v>
      </c>
      <c r="F164" s="59" t="str">
        <f aca="false">VLOOKUP(E164,Models!$A$2:$B$13,2,0)</f>
        <v>40-inch Full HD TV</v>
      </c>
      <c r="G164" s="9" t="n">
        <v>177</v>
      </c>
      <c r="H164" s="9" t="n">
        <v>1361130</v>
      </c>
      <c r="I164" s="0" t="s">
        <v>81</v>
      </c>
    </row>
    <row r="165" customFormat="false" ht="12.8" hidden="false" customHeight="false" outlineLevel="0" collapsed="false">
      <c r="A165" s="0" t="s">
        <v>25</v>
      </c>
      <c r="B165" s="0" t="s">
        <v>18</v>
      </c>
      <c r="C165" s="0" t="s">
        <v>78</v>
      </c>
      <c r="D165" s="59" t="str">
        <f aca="false">VLOOKUP(C165,Countries!$A$2:$B$11,2,0)</f>
        <v>Egypt</v>
      </c>
      <c r="E165" s="0" t="s">
        <v>43</v>
      </c>
      <c r="F165" s="59" t="str">
        <f aca="false">VLOOKUP(E165,Models!$A$2:$B$13,2,0)</f>
        <v>32-inch HD TV</v>
      </c>
      <c r="G165" s="9" t="n">
        <v>8</v>
      </c>
      <c r="H165" s="9" t="n">
        <v>38720</v>
      </c>
      <c r="I165" s="0" t="s">
        <v>81</v>
      </c>
    </row>
    <row r="166" customFormat="false" ht="12.8" hidden="false" customHeight="false" outlineLevel="0" collapsed="false">
      <c r="A166" s="0" t="s">
        <v>25</v>
      </c>
      <c r="B166" s="0" t="s">
        <v>18</v>
      </c>
      <c r="C166" s="0" t="s">
        <v>78</v>
      </c>
      <c r="D166" s="59" t="str">
        <f aca="false">VLOOKUP(C166,Countries!$A$2:$B$11,2,0)</f>
        <v>Egypt</v>
      </c>
      <c r="E166" s="0" t="s">
        <v>51</v>
      </c>
      <c r="F166" s="59" t="str">
        <f aca="false">VLOOKUP(E166,Models!$A$2:$B$13,2,0)</f>
        <v>24-inch HD TV</v>
      </c>
      <c r="G166" s="9" t="n">
        <v>302</v>
      </c>
      <c r="H166" s="9" t="n">
        <v>1087200</v>
      </c>
      <c r="I166" s="0" t="s">
        <v>81</v>
      </c>
    </row>
    <row r="167" customFormat="false" ht="12.8" hidden="false" customHeight="false" outlineLevel="0" collapsed="false">
      <c r="A167" s="0" t="s">
        <v>25</v>
      </c>
      <c r="B167" s="0" t="s">
        <v>18</v>
      </c>
      <c r="C167" s="0" t="s">
        <v>78</v>
      </c>
      <c r="D167" s="59" t="str">
        <f aca="false">VLOOKUP(C167,Countries!$A$2:$B$11,2,0)</f>
        <v>Egypt</v>
      </c>
      <c r="E167" s="0" t="s">
        <v>46</v>
      </c>
      <c r="F167" s="59" t="str">
        <f aca="false">VLOOKUP(E167,Models!$A$2:$B$13,2,0)</f>
        <v>43-inch Full HD TV</v>
      </c>
      <c r="G167" s="9" t="n">
        <v>80</v>
      </c>
      <c r="H167" s="9" t="n">
        <v>684800</v>
      </c>
      <c r="I167" s="0" t="s">
        <v>81</v>
      </c>
    </row>
    <row r="168" customFormat="false" ht="12.8" hidden="false" customHeight="false" outlineLevel="0" collapsed="false">
      <c r="A168" s="0" t="s">
        <v>25</v>
      </c>
      <c r="B168" s="0" t="s">
        <v>18</v>
      </c>
      <c r="C168" s="0" t="s">
        <v>78</v>
      </c>
      <c r="D168" s="59" t="str">
        <f aca="false">VLOOKUP(C168,Countries!$A$2:$B$11,2,0)</f>
        <v>Egypt</v>
      </c>
      <c r="E168" s="0" t="s">
        <v>49</v>
      </c>
      <c r="F168" s="59" t="str">
        <f aca="false">VLOOKUP(E168,Models!$A$2:$B$13,2,0)</f>
        <v>43-inch Smart TV</v>
      </c>
      <c r="G168" s="9" t="n">
        <v>5</v>
      </c>
      <c r="H168" s="9" t="n">
        <v>48350</v>
      </c>
      <c r="I168" s="0" t="s">
        <v>81</v>
      </c>
    </row>
    <row r="169" customFormat="false" ht="12.8" hidden="false" customHeight="false" outlineLevel="0" collapsed="false">
      <c r="A169" s="0" t="s">
        <v>25</v>
      </c>
      <c r="B169" s="0" t="s">
        <v>18</v>
      </c>
      <c r="C169" s="0" t="s">
        <v>78</v>
      </c>
      <c r="D169" s="59" t="str">
        <f aca="false">VLOOKUP(C169,Countries!$A$2:$B$11,2,0)</f>
        <v>Egypt</v>
      </c>
      <c r="E169" s="0" t="s">
        <v>40</v>
      </c>
      <c r="F169" s="59" t="str">
        <f aca="false">VLOOKUP(E169,Models!$A$2:$B$13,2,0)</f>
        <v>65-inch 4K TV</v>
      </c>
      <c r="G169" s="9" t="n">
        <v>9</v>
      </c>
      <c r="H169" s="9" t="n">
        <v>220950</v>
      </c>
      <c r="I169" s="0" t="s">
        <v>81</v>
      </c>
    </row>
    <row r="170" customFormat="false" ht="12.8" hidden="false" customHeight="false" outlineLevel="0" collapsed="false">
      <c r="A170" s="0" t="s">
        <v>25</v>
      </c>
      <c r="B170" s="0" t="s">
        <v>18</v>
      </c>
      <c r="C170" s="0" t="s">
        <v>78</v>
      </c>
      <c r="D170" s="59" t="str">
        <f aca="false">VLOOKUP(C170,Countries!$A$2:$B$11,2,0)</f>
        <v>Egypt</v>
      </c>
      <c r="E170" s="0" t="s">
        <v>41</v>
      </c>
      <c r="F170" s="59" t="str">
        <f aca="false">VLOOKUP(E170,Models!$A$2:$B$13,2,0)</f>
        <v>75-inch 4K TV</v>
      </c>
      <c r="G170" s="9" t="n">
        <v>28</v>
      </c>
      <c r="H170" s="9" t="n">
        <v>1083320</v>
      </c>
      <c r="I170" s="0" t="s">
        <v>81</v>
      </c>
    </row>
    <row r="171" customFormat="false" ht="12.8" hidden="false" customHeight="false" outlineLevel="0" collapsed="false">
      <c r="A171" s="0" t="s">
        <v>27</v>
      </c>
      <c r="B171" s="0" t="s">
        <v>18</v>
      </c>
      <c r="C171" s="0" t="s">
        <v>78</v>
      </c>
      <c r="D171" s="59" t="str">
        <f aca="false">VLOOKUP(C171,Countries!$A$2:$B$11,2,0)</f>
        <v>Egypt</v>
      </c>
      <c r="E171" s="0" t="s">
        <v>44</v>
      </c>
      <c r="F171" s="59" t="str">
        <f aca="false">VLOOKUP(E171,Models!$A$2:$B$13,2,0)</f>
        <v>55-inch 4K TV</v>
      </c>
      <c r="G171" s="9" t="n">
        <v>63</v>
      </c>
      <c r="H171" s="9" t="n">
        <v>960750</v>
      </c>
      <c r="I171" s="0" t="s">
        <v>81</v>
      </c>
    </row>
    <row r="172" customFormat="false" ht="12.8" hidden="false" customHeight="false" outlineLevel="0" collapsed="false">
      <c r="A172" s="0" t="s">
        <v>27</v>
      </c>
      <c r="B172" s="0" t="s">
        <v>18</v>
      </c>
      <c r="C172" s="0" t="s">
        <v>78</v>
      </c>
      <c r="D172" s="59" t="str">
        <f aca="false">VLOOKUP(C172,Countries!$A$2:$B$11,2,0)</f>
        <v>Egypt</v>
      </c>
      <c r="E172" s="0" t="s">
        <v>43</v>
      </c>
      <c r="F172" s="59" t="str">
        <f aca="false">VLOOKUP(E172,Models!$A$2:$B$13,2,0)</f>
        <v>32-inch HD TV</v>
      </c>
      <c r="G172" s="9" t="n">
        <v>216</v>
      </c>
      <c r="H172" s="9" t="n">
        <v>1045440</v>
      </c>
      <c r="I172" s="0" t="s">
        <v>81</v>
      </c>
    </row>
    <row r="173" customFormat="false" ht="12.8" hidden="false" customHeight="false" outlineLevel="0" collapsed="false">
      <c r="A173" s="0" t="s">
        <v>27</v>
      </c>
      <c r="B173" s="0" t="s">
        <v>18</v>
      </c>
      <c r="C173" s="0" t="s">
        <v>78</v>
      </c>
      <c r="D173" s="59" t="str">
        <f aca="false">VLOOKUP(C173,Countries!$A$2:$B$11,2,0)</f>
        <v>Egypt</v>
      </c>
      <c r="E173" s="0" t="s">
        <v>49</v>
      </c>
      <c r="F173" s="59" t="str">
        <f aca="false">VLOOKUP(E173,Models!$A$2:$B$13,2,0)</f>
        <v>43-inch Smart TV</v>
      </c>
      <c r="G173" s="9" t="n">
        <v>113</v>
      </c>
      <c r="H173" s="9" t="n">
        <v>1092710</v>
      </c>
      <c r="I173" s="0" t="s">
        <v>81</v>
      </c>
    </row>
    <row r="174" customFormat="false" ht="12.8" hidden="false" customHeight="false" outlineLevel="0" collapsed="false">
      <c r="A174" s="0" t="s">
        <v>27</v>
      </c>
      <c r="B174" s="0" t="s">
        <v>18</v>
      </c>
      <c r="C174" s="0" t="s">
        <v>78</v>
      </c>
      <c r="D174" s="59" t="str">
        <f aca="false">VLOOKUP(C174,Countries!$A$2:$B$11,2,0)</f>
        <v>Egypt</v>
      </c>
      <c r="E174" s="0" t="s">
        <v>49</v>
      </c>
      <c r="F174" s="59" t="str">
        <f aca="false">VLOOKUP(E174,Models!$A$2:$B$13,2,0)</f>
        <v>43-inch Smart TV</v>
      </c>
      <c r="G174" s="9" t="n">
        <v>114</v>
      </c>
      <c r="H174" s="9" t="n">
        <v>1102380</v>
      </c>
      <c r="I174" s="0" t="s">
        <v>81</v>
      </c>
    </row>
    <row r="175" customFormat="false" ht="12.8" hidden="false" customHeight="false" outlineLevel="0" collapsed="false">
      <c r="A175" s="0" t="s">
        <v>27</v>
      </c>
      <c r="B175" s="0" t="s">
        <v>18</v>
      </c>
      <c r="C175" s="0" t="s">
        <v>78</v>
      </c>
      <c r="D175" s="59" t="str">
        <f aca="false">VLOOKUP(C175,Countries!$A$2:$B$11,2,0)</f>
        <v>Egypt</v>
      </c>
      <c r="E175" s="0" t="s">
        <v>49</v>
      </c>
      <c r="F175" s="59" t="str">
        <f aca="false">VLOOKUP(E175,Models!$A$2:$B$13,2,0)</f>
        <v>43-inch Smart TV</v>
      </c>
      <c r="G175" s="9" t="n">
        <v>114</v>
      </c>
      <c r="H175" s="9" t="n">
        <v>1102380</v>
      </c>
      <c r="I175" s="0" t="s">
        <v>81</v>
      </c>
    </row>
    <row r="176" customFormat="false" ht="12.8" hidden="false" customHeight="false" outlineLevel="0" collapsed="false">
      <c r="A176" s="0" t="s">
        <v>27</v>
      </c>
      <c r="B176" s="0" t="s">
        <v>18</v>
      </c>
      <c r="C176" s="0" t="s">
        <v>78</v>
      </c>
      <c r="D176" s="59" t="str">
        <f aca="false">VLOOKUP(C176,Countries!$A$2:$B$11,2,0)</f>
        <v>Egypt</v>
      </c>
      <c r="E176" s="0" t="s">
        <v>45</v>
      </c>
      <c r="F176" s="59" t="str">
        <f aca="false">VLOOKUP(E176,Models!$A$2:$B$13,2,0)</f>
        <v>40-inch Full HD TV</v>
      </c>
      <c r="G176" s="9" t="n">
        <v>179</v>
      </c>
      <c r="H176" s="9" t="n">
        <v>1376510</v>
      </c>
      <c r="I176" s="0" t="s">
        <v>81</v>
      </c>
    </row>
    <row r="177" customFormat="false" ht="12.8" hidden="false" customHeight="false" outlineLevel="0" collapsed="false">
      <c r="A177" s="0" t="s">
        <v>27</v>
      </c>
      <c r="B177" s="0" t="s">
        <v>18</v>
      </c>
      <c r="C177" s="0" t="s">
        <v>78</v>
      </c>
      <c r="D177" s="59" t="str">
        <f aca="false">VLOOKUP(C177,Countries!$A$2:$B$11,2,0)</f>
        <v>Egypt</v>
      </c>
      <c r="E177" s="0" t="s">
        <v>44</v>
      </c>
      <c r="F177" s="59" t="str">
        <f aca="false">VLOOKUP(E177,Models!$A$2:$B$13,2,0)</f>
        <v>55-inch 4K TV</v>
      </c>
      <c r="G177" s="9" t="n">
        <v>63</v>
      </c>
      <c r="H177" s="9" t="n">
        <v>960750</v>
      </c>
      <c r="I177" s="0" t="s">
        <v>81</v>
      </c>
    </row>
    <row r="178" customFormat="false" ht="12.8" hidden="false" customHeight="false" outlineLevel="0" collapsed="false">
      <c r="A178" s="0" t="s">
        <v>27</v>
      </c>
      <c r="B178" s="0" t="s">
        <v>18</v>
      </c>
      <c r="C178" s="0" t="s">
        <v>78</v>
      </c>
      <c r="D178" s="59" t="str">
        <f aca="false">VLOOKUP(C178,Countries!$A$2:$B$11,2,0)</f>
        <v>Egypt</v>
      </c>
      <c r="E178" s="0" t="s">
        <v>41</v>
      </c>
      <c r="F178" s="59" t="str">
        <f aca="false">VLOOKUP(E178,Models!$A$2:$B$13,2,0)</f>
        <v>75-inch 4K TV</v>
      </c>
      <c r="G178" s="9" t="n">
        <v>29</v>
      </c>
      <c r="H178" s="9" t="n">
        <v>1122010</v>
      </c>
      <c r="I178" s="0" t="s">
        <v>81</v>
      </c>
    </row>
    <row r="179" customFormat="false" ht="12.8" hidden="false" customHeight="false" outlineLevel="0" collapsed="false">
      <c r="A179" s="0" t="s">
        <v>27</v>
      </c>
      <c r="B179" s="0" t="s">
        <v>18</v>
      </c>
      <c r="C179" s="0" t="s">
        <v>78</v>
      </c>
      <c r="D179" s="59" t="str">
        <f aca="false">VLOOKUP(C179,Countries!$A$2:$B$11,2,0)</f>
        <v>Egypt</v>
      </c>
      <c r="E179" s="0" t="s">
        <v>45</v>
      </c>
      <c r="F179" s="59" t="str">
        <f aca="false">VLOOKUP(E179,Models!$A$2:$B$13,2,0)</f>
        <v>40-inch Full HD TV</v>
      </c>
      <c r="G179" s="9" t="n">
        <v>179</v>
      </c>
      <c r="H179" s="9" t="n">
        <v>1376510</v>
      </c>
      <c r="I179" s="0" t="s">
        <v>81</v>
      </c>
    </row>
    <row r="180" customFormat="false" ht="12.8" hidden="false" customHeight="false" outlineLevel="0" collapsed="false">
      <c r="A180" s="0" t="s">
        <v>27</v>
      </c>
      <c r="B180" s="0" t="s">
        <v>18</v>
      </c>
      <c r="C180" s="0" t="s">
        <v>78</v>
      </c>
      <c r="D180" s="59" t="str">
        <f aca="false">VLOOKUP(C180,Countries!$A$2:$B$11,2,0)</f>
        <v>Egypt</v>
      </c>
      <c r="E180" s="0" t="s">
        <v>40</v>
      </c>
      <c r="F180" s="59" t="str">
        <f aca="false">VLOOKUP(E180,Models!$A$2:$B$13,2,0)</f>
        <v>65-inch 4K TV</v>
      </c>
      <c r="G180" s="9" t="n">
        <v>122</v>
      </c>
      <c r="H180" s="9" t="n">
        <v>2995100</v>
      </c>
      <c r="I180" s="0" t="s">
        <v>81</v>
      </c>
    </row>
    <row r="181" customFormat="false" ht="12.8" hidden="false" customHeight="false" outlineLevel="0" collapsed="false">
      <c r="A181" s="0" t="s">
        <v>27</v>
      </c>
      <c r="B181" s="0" t="s">
        <v>18</v>
      </c>
      <c r="C181" s="0" t="s">
        <v>78</v>
      </c>
      <c r="D181" s="59" t="str">
        <f aca="false">VLOOKUP(C181,Countries!$A$2:$B$11,2,0)</f>
        <v>Egypt</v>
      </c>
      <c r="E181" s="0" t="s">
        <v>42</v>
      </c>
      <c r="F181" s="59" t="str">
        <f aca="false">VLOOKUP(E181,Models!$A$2:$B$13,2,0)</f>
        <v>65-inch QLED TV</v>
      </c>
      <c r="G181" s="9" t="n">
        <v>18</v>
      </c>
      <c r="H181" s="9" t="n">
        <v>546840</v>
      </c>
      <c r="I181" s="0" t="s">
        <v>81</v>
      </c>
    </row>
    <row r="182" customFormat="false" ht="12.8" hidden="false" customHeight="false" outlineLevel="0" collapsed="false">
      <c r="A182" s="0" t="s">
        <v>27</v>
      </c>
      <c r="B182" s="0" t="s">
        <v>18</v>
      </c>
      <c r="C182" s="0" t="s">
        <v>78</v>
      </c>
      <c r="D182" s="59" t="str">
        <f aca="false">VLOOKUP(C182,Countries!$A$2:$B$11,2,0)</f>
        <v>Egypt</v>
      </c>
      <c r="E182" s="0" t="s">
        <v>41</v>
      </c>
      <c r="F182" s="59" t="str">
        <f aca="false">VLOOKUP(E182,Models!$A$2:$B$13,2,0)</f>
        <v>75-inch 4K TV</v>
      </c>
      <c r="G182" s="9" t="n">
        <v>29</v>
      </c>
      <c r="H182" s="9" t="n">
        <v>1122010</v>
      </c>
      <c r="I182" s="0" t="s">
        <v>81</v>
      </c>
    </row>
    <row r="183" customFormat="false" ht="12.8" hidden="false" customHeight="false" outlineLevel="0" collapsed="false">
      <c r="A183" s="0" t="s">
        <v>27</v>
      </c>
      <c r="B183" s="0" t="s">
        <v>18</v>
      </c>
      <c r="C183" s="0" t="s">
        <v>78</v>
      </c>
      <c r="D183" s="59" t="str">
        <f aca="false">VLOOKUP(C183,Countries!$A$2:$B$11,2,0)</f>
        <v>Egypt</v>
      </c>
      <c r="E183" s="0" t="s">
        <v>42</v>
      </c>
      <c r="F183" s="59" t="str">
        <f aca="false">VLOOKUP(E183,Models!$A$2:$B$13,2,0)</f>
        <v>65-inch QLED TV</v>
      </c>
      <c r="G183" s="9" t="n">
        <v>18</v>
      </c>
      <c r="H183" s="9" t="n">
        <v>546840</v>
      </c>
      <c r="I183" s="0" t="s">
        <v>81</v>
      </c>
    </row>
    <row r="184" customFormat="false" ht="12.8" hidden="false" customHeight="false" outlineLevel="0" collapsed="false">
      <c r="A184" s="0" t="s">
        <v>27</v>
      </c>
      <c r="B184" s="0" t="s">
        <v>18</v>
      </c>
      <c r="C184" s="0" t="s">
        <v>78</v>
      </c>
      <c r="D184" s="59" t="str">
        <f aca="false">VLOOKUP(C184,Countries!$A$2:$B$11,2,0)</f>
        <v>Egypt</v>
      </c>
      <c r="E184" s="0" t="s">
        <v>48</v>
      </c>
      <c r="F184" s="59" t="str">
        <f aca="false">VLOOKUP(E184,Models!$A$2:$B$13,2,0)</f>
        <v>55-inch QLED TV</v>
      </c>
      <c r="G184" s="9" t="n">
        <v>17</v>
      </c>
      <c r="H184" s="9" t="n">
        <v>328780</v>
      </c>
      <c r="I184" s="0" t="s">
        <v>81</v>
      </c>
    </row>
    <row r="185" customFormat="false" ht="12.8" hidden="false" customHeight="false" outlineLevel="0" collapsed="false">
      <c r="A185" s="0" t="s">
        <v>27</v>
      </c>
      <c r="B185" s="0" t="s">
        <v>18</v>
      </c>
      <c r="C185" s="0" t="s">
        <v>78</v>
      </c>
      <c r="D185" s="59" t="str">
        <f aca="false">VLOOKUP(C185,Countries!$A$2:$B$11,2,0)</f>
        <v>Egypt</v>
      </c>
      <c r="E185" s="0" t="s">
        <v>46</v>
      </c>
      <c r="F185" s="59" t="str">
        <f aca="false">VLOOKUP(E185,Models!$A$2:$B$13,2,0)</f>
        <v>43-inch Full HD TV</v>
      </c>
      <c r="G185" s="9" t="n">
        <v>50</v>
      </c>
      <c r="H185" s="9" t="n">
        <v>428000</v>
      </c>
      <c r="I185" s="0" t="s">
        <v>81</v>
      </c>
    </row>
    <row r="186" customFormat="false" ht="12.8" hidden="false" customHeight="false" outlineLevel="0" collapsed="false">
      <c r="A186" s="0" t="s">
        <v>27</v>
      </c>
      <c r="B186" s="0" t="s">
        <v>18</v>
      </c>
      <c r="C186" s="0" t="s">
        <v>78</v>
      </c>
      <c r="D186" s="59" t="str">
        <f aca="false">VLOOKUP(C186,Countries!$A$2:$B$11,2,0)</f>
        <v>Egypt</v>
      </c>
      <c r="E186" s="0" t="s">
        <v>51</v>
      </c>
      <c r="F186" s="59" t="str">
        <f aca="false">VLOOKUP(E186,Models!$A$2:$B$13,2,0)</f>
        <v>24-inch HD TV</v>
      </c>
      <c r="G186" s="9" t="n">
        <v>79</v>
      </c>
      <c r="H186" s="9" t="n">
        <v>284400</v>
      </c>
      <c r="I186" s="0" t="s">
        <v>81</v>
      </c>
    </row>
    <row r="187" customFormat="false" ht="12.8" hidden="false" customHeight="false" outlineLevel="0" collapsed="false">
      <c r="A187" s="0" t="s">
        <v>27</v>
      </c>
      <c r="B187" s="0" t="s">
        <v>18</v>
      </c>
      <c r="C187" s="0" t="s">
        <v>78</v>
      </c>
      <c r="D187" s="59" t="str">
        <f aca="false">VLOOKUP(C187,Countries!$A$2:$B$11,2,0)</f>
        <v>Egypt</v>
      </c>
      <c r="E187" s="0" t="s">
        <v>50</v>
      </c>
      <c r="F187" s="59" t="str">
        <f aca="false">VLOOKUP(E187,Models!$A$2:$B$13,2,0)</f>
        <v>50-inch 4K TV</v>
      </c>
      <c r="G187" s="9" t="n">
        <v>21</v>
      </c>
      <c r="H187" s="9" t="n">
        <v>270900</v>
      </c>
      <c r="I187" s="0" t="s">
        <v>81</v>
      </c>
    </row>
    <row r="188" customFormat="false" ht="12.8" hidden="false" customHeight="false" outlineLevel="0" collapsed="false">
      <c r="A188" s="0" t="s">
        <v>27</v>
      </c>
      <c r="B188" s="0" t="s">
        <v>18</v>
      </c>
      <c r="C188" s="0" t="s">
        <v>78</v>
      </c>
      <c r="D188" s="59" t="str">
        <f aca="false">VLOOKUP(C188,Countries!$A$2:$B$11,2,0)</f>
        <v>Egypt</v>
      </c>
      <c r="E188" s="0" t="s">
        <v>51</v>
      </c>
      <c r="F188" s="59" t="str">
        <f aca="false">VLOOKUP(E188,Models!$A$2:$B$13,2,0)</f>
        <v>24-inch HD TV</v>
      </c>
      <c r="G188" s="9" t="n">
        <v>79</v>
      </c>
      <c r="H188" s="9" t="n">
        <v>284400</v>
      </c>
      <c r="I188" s="0" t="s">
        <v>81</v>
      </c>
    </row>
    <row r="189" customFormat="false" ht="12.8" hidden="false" customHeight="false" outlineLevel="0" collapsed="false">
      <c r="A189" s="0" t="s">
        <v>27</v>
      </c>
      <c r="B189" s="0" t="s">
        <v>18</v>
      </c>
      <c r="C189" s="0" t="s">
        <v>78</v>
      </c>
      <c r="D189" s="59" t="str">
        <f aca="false">VLOOKUP(C189,Countries!$A$2:$B$11,2,0)</f>
        <v>Egypt</v>
      </c>
      <c r="E189" s="0" t="s">
        <v>51</v>
      </c>
      <c r="F189" s="59" t="str">
        <f aca="false">VLOOKUP(E189,Models!$A$2:$B$13,2,0)</f>
        <v>24-inch HD TV</v>
      </c>
      <c r="G189" s="9" t="n">
        <v>79</v>
      </c>
      <c r="H189" s="9" t="n">
        <v>284400</v>
      </c>
      <c r="I189" s="0" t="s">
        <v>81</v>
      </c>
    </row>
    <row r="190" customFormat="false" ht="12.8" hidden="false" customHeight="false" outlineLevel="0" collapsed="false">
      <c r="A190" s="0" t="s">
        <v>27</v>
      </c>
      <c r="B190" s="0" t="s">
        <v>18</v>
      </c>
      <c r="C190" s="0" t="s">
        <v>78</v>
      </c>
      <c r="D190" s="59" t="str">
        <f aca="false">VLOOKUP(C190,Countries!$A$2:$B$11,2,0)</f>
        <v>Egypt</v>
      </c>
      <c r="E190" s="0" t="s">
        <v>48</v>
      </c>
      <c r="F190" s="59" t="str">
        <f aca="false">VLOOKUP(E190,Models!$A$2:$B$13,2,0)</f>
        <v>55-inch QLED TV</v>
      </c>
      <c r="G190" s="9" t="n">
        <v>18</v>
      </c>
      <c r="H190" s="9" t="n">
        <v>348120</v>
      </c>
      <c r="I190" s="0" t="s">
        <v>81</v>
      </c>
    </row>
    <row r="191" customFormat="false" ht="12.8" hidden="false" customHeight="false" outlineLevel="0" collapsed="false">
      <c r="A191" s="0" t="s">
        <v>27</v>
      </c>
      <c r="B191" s="0" t="s">
        <v>18</v>
      </c>
      <c r="C191" s="0" t="s">
        <v>78</v>
      </c>
      <c r="D191" s="59" t="str">
        <f aca="false">VLOOKUP(C191,Countries!$A$2:$B$11,2,0)</f>
        <v>Egypt</v>
      </c>
      <c r="E191" s="0" t="s">
        <v>46</v>
      </c>
      <c r="F191" s="59" t="str">
        <f aca="false">VLOOKUP(E191,Models!$A$2:$B$13,2,0)</f>
        <v>43-inch Full HD TV</v>
      </c>
      <c r="G191" s="9" t="n">
        <v>49</v>
      </c>
      <c r="H191" s="9" t="n">
        <v>419440</v>
      </c>
      <c r="I191" s="0" t="s">
        <v>81</v>
      </c>
    </row>
    <row r="192" customFormat="false" ht="12.8" hidden="false" customHeight="false" outlineLevel="0" collapsed="false">
      <c r="A192" s="0" t="s">
        <v>27</v>
      </c>
      <c r="B192" s="0" t="s">
        <v>18</v>
      </c>
      <c r="C192" s="0" t="s">
        <v>78</v>
      </c>
      <c r="D192" s="59" t="str">
        <f aca="false">VLOOKUP(C192,Countries!$A$2:$B$11,2,0)</f>
        <v>Egypt</v>
      </c>
      <c r="E192" s="0" t="s">
        <v>50</v>
      </c>
      <c r="F192" s="59" t="str">
        <f aca="false">VLOOKUP(E192,Models!$A$2:$B$13,2,0)</f>
        <v>50-inch 4K TV</v>
      </c>
      <c r="G192" s="9" t="n">
        <v>22</v>
      </c>
      <c r="H192" s="9" t="n">
        <v>283800</v>
      </c>
      <c r="I192" s="0" t="s">
        <v>81</v>
      </c>
    </row>
    <row r="193" customFormat="false" ht="12.8" hidden="false" customHeight="false" outlineLevel="0" collapsed="false">
      <c r="A193" s="0" t="s">
        <v>27</v>
      </c>
      <c r="B193" s="0" t="s">
        <v>18</v>
      </c>
      <c r="C193" s="0" t="s">
        <v>78</v>
      </c>
      <c r="D193" s="59" t="str">
        <f aca="false">VLOOKUP(C193,Countries!$A$2:$B$11,2,0)</f>
        <v>Egypt</v>
      </c>
      <c r="E193" s="0" t="s">
        <v>48</v>
      </c>
      <c r="F193" s="59" t="str">
        <f aca="false">VLOOKUP(E193,Models!$A$2:$B$13,2,0)</f>
        <v>55-inch QLED TV</v>
      </c>
      <c r="G193" s="9" t="n">
        <v>18</v>
      </c>
      <c r="H193" s="9" t="n">
        <v>348120</v>
      </c>
      <c r="I193" s="0" t="s">
        <v>81</v>
      </c>
    </row>
    <row r="194" customFormat="false" ht="12.8" hidden="false" customHeight="false" outlineLevel="0" collapsed="false">
      <c r="A194" s="0" t="s">
        <v>27</v>
      </c>
      <c r="B194" s="0" t="s">
        <v>18</v>
      </c>
      <c r="C194" s="0" t="s">
        <v>78</v>
      </c>
      <c r="D194" s="59" t="str">
        <f aca="false">VLOOKUP(C194,Countries!$A$2:$B$11,2,0)</f>
        <v>Egypt</v>
      </c>
      <c r="E194" s="0" t="s">
        <v>46</v>
      </c>
      <c r="F194" s="59" t="str">
        <f aca="false">VLOOKUP(E194,Models!$A$2:$B$13,2,0)</f>
        <v>43-inch Full HD TV</v>
      </c>
      <c r="G194" s="9" t="n">
        <v>50</v>
      </c>
      <c r="H194" s="9" t="n">
        <v>428000</v>
      </c>
      <c r="I194" s="0" t="s">
        <v>81</v>
      </c>
    </row>
    <row r="195" customFormat="false" ht="12.8" hidden="false" customHeight="false" outlineLevel="0" collapsed="false">
      <c r="A195" s="0" t="s">
        <v>27</v>
      </c>
      <c r="B195" s="0" t="s">
        <v>18</v>
      </c>
      <c r="C195" s="0" t="s">
        <v>78</v>
      </c>
      <c r="D195" s="59" t="str">
        <f aca="false">VLOOKUP(C195,Countries!$A$2:$B$11,2,0)</f>
        <v>Egypt</v>
      </c>
      <c r="E195" s="0" t="s">
        <v>50</v>
      </c>
      <c r="F195" s="59" t="str">
        <f aca="false">VLOOKUP(E195,Models!$A$2:$B$13,2,0)</f>
        <v>50-inch 4K TV</v>
      </c>
      <c r="G195" s="9" t="n">
        <v>22</v>
      </c>
      <c r="H195" s="9" t="n">
        <v>283800</v>
      </c>
      <c r="I195" s="0" t="s">
        <v>81</v>
      </c>
    </row>
    <row r="196" customFormat="false" ht="12.8" hidden="false" customHeight="false" outlineLevel="0" collapsed="false">
      <c r="A196" s="0" t="s">
        <v>27</v>
      </c>
      <c r="B196" s="0" t="s">
        <v>18</v>
      </c>
      <c r="C196" s="0" t="s">
        <v>78</v>
      </c>
      <c r="D196" s="59" t="str">
        <f aca="false">VLOOKUP(C196,Countries!$A$2:$B$11,2,0)</f>
        <v>Egypt</v>
      </c>
      <c r="E196" s="0" t="s">
        <v>44</v>
      </c>
      <c r="F196" s="59" t="str">
        <f aca="false">VLOOKUP(E196,Models!$A$2:$B$13,2,0)</f>
        <v>55-inch 4K TV</v>
      </c>
      <c r="G196" s="9" t="n">
        <v>62</v>
      </c>
      <c r="H196" s="9" t="n">
        <v>945500</v>
      </c>
      <c r="I196" s="0" t="s">
        <v>81</v>
      </c>
    </row>
    <row r="197" customFormat="false" ht="12.8" hidden="false" customHeight="false" outlineLevel="0" collapsed="false">
      <c r="A197" s="0" t="s">
        <v>23</v>
      </c>
      <c r="B197" s="0" t="s">
        <v>19</v>
      </c>
      <c r="C197" s="0" t="s">
        <v>82</v>
      </c>
      <c r="D197" s="59" t="str">
        <f aca="false">VLOOKUP(C197,Countries!$A$2:$B$11,2,0)</f>
        <v>United Arab Emirates</v>
      </c>
      <c r="E197" s="0" t="s">
        <v>49</v>
      </c>
      <c r="F197" s="59" t="str">
        <f aca="false">VLOOKUP(E197,Models!$A$2:$B$13,2,0)</f>
        <v>43-inch Smart TV</v>
      </c>
      <c r="G197" s="9" t="n">
        <v>47</v>
      </c>
      <c r="H197" s="9" t="n">
        <v>427230</v>
      </c>
      <c r="I197" s="0" t="s">
        <v>83</v>
      </c>
    </row>
    <row r="198" customFormat="false" ht="12.8" hidden="false" customHeight="false" outlineLevel="0" collapsed="false">
      <c r="A198" s="0" t="s">
        <v>23</v>
      </c>
      <c r="B198" s="0" t="s">
        <v>19</v>
      </c>
      <c r="C198" s="0" t="s">
        <v>84</v>
      </c>
      <c r="D198" s="59" t="str">
        <f aca="false">VLOOKUP(C198,Countries!$A$2:$B$11,2,0)</f>
        <v>Iraq</v>
      </c>
      <c r="E198" s="0" t="s">
        <v>45</v>
      </c>
      <c r="F198" s="59" t="str">
        <f aca="false">VLOOKUP(E198,Models!$A$2:$B$13,2,0)</f>
        <v>40-inch Full HD TV</v>
      </c>
      <c r="G198" s="9" t="n">
        <v>88</v>
      </c>
      <c r="H198" s="9" t="n">
        <v>636240</v>
      </c>
      <c r="I198" s="0" t="s">
        <v>83</v>
      </c>
    </row>
    <row r="199" customFormat="false" ht="12.8" hidden="false" customHeight="false" outlineLevel="0" collapsed="false">
      <c r="A199" s="0" t="s">
        <v>23</v>
      </c>
      <c r="B199" s="0" t="s">
        <v>19</v>
      </c>
      <c r="C199" s="0" t="s">
        <v>84</v>
      </c>
      <c r="D199" s="59" t="str">
        <f aca="false">VLOOKUP(C199,Countries!$A$2:$B$11,2,0)</f>
        <v>Iraq</v>
      </c>
      <c r="E199" s="0" t="s">
        <v>49</v>
      </c>
      <c r="F199" s="59" t="str">
        <f aca="false">VLOOKUP(E199,Models!$A$2:$B$13,2,0)</f>
        <v>43-inch Smart TV</v>
      </c>
      <c r="G199" s="9" t="n">
        <v>73</v>
      </c>
      <c r="H199" s="9" t="n">
        <v>663570</v>
      </c>
      <c r="I199" s="0" t="s">
        <v>83</v>
      </c>
    </row>
    <row r="200" customFormat="false" ht="12.8" hidden="false" customHeight="false" outlineLevel="0" collapsed="false">
      <c r="A200" s="0" t="s">
        <v>23</v>
      </c>
      <c r="B200" s="0" t="s">
        <v>19</v>
      </c>
      <c r="C200" s="0" t="s">
        <v>85</v>
      </c>
      <c r="D200" s="59" t="str">
        <f aca="false">VLOOKUP(C200,Countries!$A$2:$B$11,2,0)</f>
        <v>Jordan</v>
      </c>
      <c r="E200" s="0" t="s">
        <v>45</v>
      </c>
      <c r="F200" s="59" t="str">
        <f aca="false">VLOOKUP(E200,Models!$A$2:$B$13,2,0)</f>
        <v>40-inch Full HD TV</v>
      </c>
      <c r="G200" s="9" t="n">
        <v>42</v>
      </c>
      <c r="H200" s="9" t="n">
        <v>303660</v>
      </c>
      <c r="I200" s="0" t="s">
        <v>83</v>
      </c>
    </row>
    <row r="201" customFormat="false" ht="12.8" hidden="false" customHeight="false" outlineLevel="0" collapsed="false">
      <c r="A201" s="0" t="s">
        <v>23</v>
      </c>
      <c r="B201" s="0" t="s">
        <v>19</v>
      </c>
      <c r="C201" s="0" t="s">
        <v>85</v>
      </c>
      <c r="D201" s="59" t="str">
        <f aca="false">VLOOKUP(C201,Countries!$A$2:$B$11,2,0)</f>
        <v>Jordan</v>
      </c>
      <c r="E201" s="0" t="s">
        <v>46</v>
      </c>
      <c r="F201" s="59" t="str">
        <f aca="false">VLOOKUP(E201,Models!$A$2:$B$13,2,0)</f>
        <v>43-inch Full HD TV</v>
      </c>
      <c r="G201" s="9" t="n">
        <v>82</v>
      </c>
      <c r="H201" s="9" t="n">
        <v>660100</v>
      </c>
      <c r="I201" s="0" t="s">
        <v>83</v>
      </c>
    </row>
    <row r="202" customFormat="false" ht="12.8" hidden="false" customHeight="false" outlineLevel="0" collapsed="false">
      <c r="A202" s="0" t="s">
        <v>23</v>
      </c>
      <c r="B202" s="0" t="s">
        <v>19</v>
      </c>
      <c r="C202" s="0" t="s">
        <v>85</v>
      </c>
      <c r="D202" s="59" t="str">
        <f aca="false">VLOOKUP(C202,Countries!$A$2:$B$11,2,0)</f>
        <v>Jordan</v>
      </c>
      <c r="E202" s="0" t="s">
        <v>50</v>
      </c>
      <c r="F202" s="59" t="str">
        <f aca="false">VLOOKUP(E202,Models!$A$2:$B$13,2,0)</f>
        <v>50-inch 4K TV</v>
      </c>
      <c r="G202" s="9" t="n">
        <v>22</v>
      </c>
      <c r="H202" s="9" t="n">
        <v>266860</v>
      </c>
      <c r="I202" s="0" t="s">
        <v>83</v>
      </c>
    </row>
    <row r="203" customFormat="false" ht="12.8" hidden="false" customHeight="false" outlineLevel="0" collapsed="false">
      <c r="A203" s="0" t="s">
        <v>23</v>
      </c>
      <c r="B203" s="0" t="s">
        <v>19</v>
      </c>
      <c r="C203" s="0" t="s">
        <v>85</v>
      </c>
      <c r="D203" s="59" t="str">
        <f aca="false">VLOOKUP(C203,Countries!$A$2:$B$11,2,0)</f>
        <v>Jordan</v>
      </c>
      <c r="E203" s="0" t="s">
        <v>42</v>
      </c>
      <c r="F203" s="59" t="str">
        <f aca="false">VLOOKUP(E203,Models!$A$2:$B$13,2,0)</f>
        <v>65-inch QLED TV</v>
      </c>
      <c r="G203" s="9" t="n">
        <v>55</v>
      </c>
      <c r="H203" s="9" t="n">
        <v>1570800</v>
      </c>
      <c r="I203" s="0" t="s">
        <v>83</v>
      </c>
    </row>
    <row r="204" customFormat="false" ht="12.8" hidden="false" customHeight="false" outlineLevel="0" collapsed="false">
      <c r="A204" s="0" t="s">
        <v>23</v>
      </c>
      <c r="B204" s="0" t="s">
        <v>19</v>
      </c>
      <c r="C204" s="0" t="s">
        <v>86</v>
      </c>
      <c r="D204" s="59" t="str">
        <f aca="false">VLOOKUP(C204,Countries!$A$2:$B$11,2,0)</f>
        <v>Kenya</v>
      </c>
      <c r="E204" s="0" t="s">
        <v>51</v>
      </c>
      <c r="F204" s="59" t="str">
        <f aca="false">VLOOKUP(E204,Models!$A$2:$B$13,2,0)</f>
        <v>24-inch HD TV</v>
      </c>
      <c r="G204" s="9" t="n">
        <v>39</v>
      </c>
      <c r="H204" s="9" t="n">
        <v>131820</v>
      </c>
      <c r="I204" s="0" t="s">
        <v>83</v>
      </c>
    </row>
    <row r="205" customFormat="false" ht="12.8" hidden="false" customHeight="false" outlineLevel="0" collapsed="false">
      <c r="A205" s="0" t="s">
        <v>23</v>
      </c>
      <c r="B205" s="0" t="s">
        <v>19</v>
      </c>
      <c r="C205" s="0" t="s">
        <v>86</v>
      </c>
      <c r="D205" s="59" t="str">
        <f aca="false">VLOOKUP(C205,Countries!$A$2:$B$11,2,0)</f>
        <v>Kenya</v>
      </c>
      <c r="E205" s="0" t="s">
        <v>43</v>
      </c>
      <c r="F205" s="59" t="str">
        <f aca="false">VLOOKUP(E205,Models!$A$2:$B$13,2,0)</f>
        <v>32-inch HD TV</v>
      </c>
      <c r="G205" s="9" t="n">
        <v>24</v>
      </c>
      <c r="H205" s="9" t="n">
        <v>109200</v>
      </c>
      <c r="I205" s="0" t="s">
        <v>83</v>
      </c>
    </row>
    <row r="206" customFormat="false" ht="12.8" hidden="false" customHeight="false" outlineLevel="0" collapsed="false">
      <c r="A206" s="0" t="s">
        <v>23</v>
      </c>
      <c r="B206" s="0" t="s">
        <v>19</v>
      </c>
      <c r="C206" s="0" t="s">
        <v>86</v>
      </c>
      <c r="D206" s="59" t="str">
        <f aca="false">VLOOKUP(C206,Countries!$A$2:$B$11,2,0)</f>
        <v>Kenya</v>
      </c>
      <c r="E206" s="0" t="s">
        <v>47</v>
      </c>
      <c r="F206" s="59" t="str">
        <f aca="false">VLOOKUP(E206,Models!$A$2:$B$13,2,0)</f>
        <v>32-inch Smart TV</v>
      </c>
      <c r="G206" s="9" t="n">
        <v>121</v>
      </c>
      <c r="H206" s="9" t="n">
        <v>648560</v>
      </c>
      <c r="I206" s="0" t="s">
        <v>83</v>
      </c>
    </row>
    <row r="207" customFormat="false" ht="12.8" hidden="false" customHeight="false" outlineLevel="0" collapsed="false">
      <c r="A207" s="0" t="s">
        <v>23</v>
      </c>
      <c r="B207" s="0" t="s">
        <v>19</v>
      </c>
      <c r="C207" s="0" t="s">
        <v>86</v>
      </c>
      <c r="D207" s="59" t="str">
        <f aca="false">VLOOKUP(C207,Countries!$A$2:$B$11,2,0)</f>
        <v>Kenya</v>
      </c>
      <c r="E207" s="0" t="s">
        <v>50</v>
      </c>
      <c r="F207" s="59" t="str">
        <f aca="false">VLOOKUP(E207,Models!$A$2:$B$13,2,0)</f>
        <v>50-inch 4K TV</v>
      </c>
      <c r="G207" s="9" t="n">
        <v>99</v>
      </c>
      <c r="H207" s="9" t="n">
        <v>1200870</v>
      </c>
      <c r="I207" s="0" t="s">
        <v>83</v>
      </c>
    </row>
    <row r="208" customFormat="false" ht="12.8" hidden="false" customHeight="false" outlineLevel="0" collapsed="false">
      <c r="A208" s="0" t="s">
        <v>23</v>
      </c>
      <c r="B208" s="0" t="s">
        <v>19</v>
      </c>
      <c r="C208" s="0" t="s">
        <v>86</v>
      </c>
      <c r="D208" s="59" t="str">
        <f aca="false">VLOOKUP(C208,Countries!$A$2:$B$11,2,0)</f>
        <v>Kenya</v>
      </c>
      <c r="E208" s="0" t="s">
        <v>42</v>
      </c>
      <c r="F208" s="59" t="str">
        <f aca="false">VLOOKUP(E208,Models!$A$2:$B$13,2,0)</f>
        <v>65-inch QLED TV</v>
      </c>
      <c r="G208" s="9" t="n">
        <v>124</v>
      </c>
      <c r="H208" s="9" t="n">
        <v>3541440</v>
      </c>
      <c r="I208" s="0" t="s">
        <v>83</v>
      </c>
    </row>
    <row r="209" customFormat="false" ht="12.8" hidden="false" customHeight="false" outlineLevel="0" collapsed="false">
      <c r="A209" s="0" t="s">
        <v>23</v>
      </c>
      <c r="B209" s="0" t="s">
        <v>19</v>
      </c>
      <c r="C209" s="0" t="s">
        <v>87</v>
      </c>
      <c r="D209" s="59" t="str">
        <f aca="false">VLOOKUP(C209,Countries!$A$2:$B$11,2,0)</f>
        <v>Kuwait</v>
      </c>
      <c r="E209" s="0" t="s">
        <v>45</v>
      </c>
      <c r="F209" s="59" t="str">
        <f aca="false">VLOOKUP(E209,Models!$A$2:$B$13,2,0)</f>
        <v>40-inch Full HD TV</v>
      </c>
      <c r="G209" s="9" t="n">
        <v>114</v>
      </c>
      <c r="H209" s="9" t="n">
        <v>824220</v>
      </c>
      <c r="I209" s="0" t="s">
        <v>83</v>
      </c>
    </row>
    <row r="210" customFormat="false" ht="12.8" hidden="false" customHeight="false" outlineLevel="0" collapsed="false">
      <c r="A210" s="0" t="s">
        <v>23</v>
      </c>
      <c r="B210" s="0" t="s">
        <v>19</v>
      </c>
      <c r="C210" s="0" t="s">
        <v>87</v>
      </c>
      <c r="D210" s="59" t="str">
        <f aca="false">VLOOKUP(C210,Countries!$A$2:$B$11,2,0)</f>
        <v>Kuwait</v>
      </c>
      <c r="E210" s="0" t="s">
        <v>50</v>
      </c>
      <c r="F210" s="59" t="str">
        <f aca="false">VLOOKUP(E210,Models!$A$2:$B$13,2,0)</f>
        <v>50-inch 4K TV</v>
      </c>
      <c r="G210" s="9" t="n">
        <v>49</v>
      </c>
      <c r="H210" s="9" t="n">
        <v>594370</v>
      </c>
      <c r="I210" s="0" t="s">
        <v>83</v>
      </c>
    </row>
    <row r="211" customFormat="false" ht="12.8" hidden="false" customHeight="false" outlineLevel="0" collapsed="false">
      <c r="A211" s="0" t="s">
        <v>23</v>
      </c>
      <c r="B211" s="0" t="s">
        <v>19</v>
      </c>
      <c r="C211" s="0" t="s">
        <v>87</v>
      </c>
      <c r="D211" s="59" t="str">
        <f aca="false">VLOOKUP(C211,Countries!$A$2:$B$11,2,0)</f>
        <v>Kuwait</v>
      </c>
      <c r="E211" s="0" t="s">
        <v>40</v>
      </c>
      <c r="F211" s="59" t="str">
        <f aca="false">VLOOKUP(E211,Models!$A$2:$B$13,2,0)</f>
        <v>65-inch 4K TV</v>
      </c>
      <c r="G211" s="9" t="n">
        <v>80</v>
      </c>
      <c r="H211" s="9" t="n">
        <v>1846400</v>
      </c>
      <c r="I211" s="0" t="s">
        <v>83</v>
      </c>
    </row>
    <row r="212" customFormat="false" ht="12.8" hidden="false" customHeight="false" outlineLevel="0" collapsed="false">
      <c r="A212" s="0" t="s">
        <v>23</v>
      </c>
      <c r="B212" s="0" t="s">
        <v>19</v>
      </c>
      <c r="C212" s="0" t="s">
        <v>87</v>
      </c>
      <c r="D212" s="59" t="str">
        <f aca="false">VLOOKUP(C212,Countries!$A$2:$B$11,2,0)</f>
        <v>Kuwait</v>
      </c>
      <c r="E212" s="0" t="s">
        <v>42</v>
      </c>
      <c r="F212" s="59" t="str">
        <f aca="false">VLOOKUP(E212,Models!$A$2:$B$13,2,0)</f>
        <v>65-inch QLED TV</v>
      </c>
      <c r="G212" s="9" t="n">
        <v>66</v>
      </c>
      <c r="H212" s="9" t="n">
        <v>1884960</v>
      </c>
      <c r="I212" s="0" t="s">
        <v>83</v>
      </c>
    </row>
    <row r="213" customFormat="false" ht="12.8" hidden="false" customHeight="false" outlineLevel="0" collapsed="false">
      <c r="A213" s="0" t="s">
        <v>23</v>
      </c>
      <c r="B213" s="0" t="s">
        <v>19</v>
      </c>
      <c r="C213" s="0" t="s">
        <v>88</v>
      </c>
      <c r="D213" s="59" t="str">
        <f aca="false">VLOOKUP(C213,Countries!$A$2:$B$11,2,0)</f>
        <v>Libya</v>
      </c>
      <c r="E213" s="0" t="s">
        <v>47</v>
      </c>
      <c r="F213" s="59" t="str">
        <f aca="false">VLOOKUP(E213,Models!$A$2:$B$13,2,0)</f>
        <v>32-inch Smart TV</v>
      </c>
      <c r="G213" s="9" t="n">
        <v>58</v>
      </c>
      <c r="H213" s="9" t="n">
        <v>310880</v>
      </c>
      <c r="I213" s="0" t="s">
        <v>83</v>
      </c>
    </row>
    <row r="214" customFormat="false" ht="12.8" hidden="false" customHeight="false" outlineLevel="0" collapsed="false">
      <c r="A214" s="0" t="s">
        <v>23</v>
      </c>
      <c r="B214" s="0" t="s">
        <v>19</v>
      </c>
      <c r="C214" s="0" t="s">
        <v>88</v>
      </c>
      <c r="D214" s="59" t="str">
        <f aca="false">VLOOKUP(C214,Countries!$A$2:$B$11,2,0)</f>
        <v>Libya</v>
      </c>
      <c r="E214" s="0" t="s">
        <v>48</v>
      </c>
      <c r="F214" s="59" t="str">
        <f aca="false">VLOOKUP(E214,Models!$A$2:$B$13,2,0)</f>
        <v>55-inch QLED TV</v>
      </c>
      <c r="G214" s="9" t="n">
        <v>92</v>
      </c>
      <c r="H214" s="9" t="n">
        <v>1672560</v>
      </c>
      <c r="I214" s="0" t="s">
        <v>83</v>
      </c>
    </row>
    <row r="215" customFormat="false" ht="12.8" hidden="false" customHeight="false" outlineLevel="0" collapsed="false">
      <c r="A215" s="0" t="s">
        <v>23</v>
      </c>
      <c r="B215" s="0" t="s">
        <v>19</v>
      </c>
      <c r="C215" s="0" t="s">
        <v>88</v>
      </c>
      <c r="D215" s="59" t="str">
        <f aca="false">VLOOKUP(C215,Countries!$A$2:$B$11,2,0)</f>
        <v>Libya</v>
      </c>
      <c r="E215" s="0" t="s">
        <v>40</v>
      </c>
      <c r="F215" s="59" t="str">
        <f aca="false">VLOOKUP(E215,Models!$A$2:$B$13,2,0)</f>
        <v>65-inch 4K TV</v>
      </c>
      <c r="G215" s="9" t="n">
        <v>88</v>
      </c>
      <c r="H215" s="9" t="n">
        <v>2031040</v>
      </c>
      <c r="I215" s="0" t="s">
        <v>83</v>
      </c>
    </row>
    <row r="216" customFormat="false" ht="12.8" hidden="false" customHeight="false" outlineLevel="0" collapsed="false">
      <c r="A216" s="0" t="s">
        <v>23</v>
      </c>
      <c r="B216" s="0" t="s">
        <v>19</v>
      </c>
      <c r="C216" s="0" t="s">
        <v>88</v>
      </c>
      <c r="D216" s="59" t="str">
        <f aca="false">VLOOKUP(C216,Countries!$A$2:$B$11,2,0)</f>
        <v>Libya</v>
      </c>
      <c r="E216" s="0" t="s">
        <v>42</v>
      </c>
      <c r="F216" s="59" t="str">
        <f aca="false">VLOOKUP(E216,Models!$A$2:$B$13,2,0)</f>
        <v>65-inch QLED TV</v>
      </c>
      <c r="G216" s="9" t="n">
        <v>31</v>
      </c>
      <c r="H216" s="9" t="n">
        <v>885360</v>
      </c>
      <c r="I216" s="0" t="s">
        <v>83</v>
      </c>
    </row>
    <row r="217" customFormat="false" ht="12.8" hidden="false" customHeight="false" outlineLevel="0" collapsed="false">
      <c r="A217" s="0" t="s">
        <v>23</v>
      </c>
      <c r="B217" s="0" t="s">
        <v>19</v>
      </c>
      <c r="C217" s="0" t="s">
        <v>88</v>
      </c>
      <c r="D217" s="59" t="str">
        <f aca="false">VLOOKUP(C217,Countries!$A$2:$B$11,2,0)</f>
        <v>Libya</v>
      </c>
      <c r="E217" s="0" t="s">
        <v>41</v>
      </c>
      <c r="F217" s="59" t="str">
        <f aca="false">VLOOKUP(E217,Models!$A$2:$B$13,2,0)</f>
        <v>75-inch 4K TV</v>
      </c>
      <c r="G217" s="9" t="n">
        <v>57</v>
      </c>
      <c r="H217" s="9" t="n">
        <v>2073090</v>
      </c>
      <c r="I217" s="0" t="s">
        <v>83</v>
      </c>
    </row>
    <row r="218" customFormat="false" ht="12.8" hidden="false" customHeight="false" outlineLevel="0" collapsed="false">
      <c r="A218" s="0" t="s">
        <v>23</v>
      </c>
      <c r="B218" s="0" t="s">
        <v>19</v>
      </c>
      <c r="C218" s="0" t="s">
        <v>89</v>
      </c>
      <c r="D218" s="59" t="str">
        <f aca="false">VLOOKUP(C218,Countries!$A$2:$B$11,2,0)</f>
        <v>Morocco</v>
      </c>
      <c r="E218" s="0" t="s">
        <v>45</v>
      </c>
      <c r="F218" s="59" t="str">
        <f aca="false">VLOOKUP(E218,Models!$A$2:$B$13,2,0)</f>
        <v>40-inch Full HD TV</v>
      </c>
      <c r="G218" s="9" t="n">
        <v>42</v>
      </c>
      <c r="H218" s="9" t="n">
        <v>303660</v>
      </c>
      <c r="I218" s="0" t="s">
        <v>83</v>
      </c>
    </row>
    <row r="219" customFormat="false" ht="12.8" hidden="false" customHeight="false" outlineLevel="0" collapsed="false">
      <c r="A219" s="0" t="s">
        <v>23</v>
      </c>
      <c r="B219" s="0" t="s">
        <v>19</v>
      </c>
      <c r="C219" s="0" t="s">
        <v>89</v>
      </c>
      <c r="D219" s="59" t="str">
        <f aca="false">VLOOKUP(C219,Countries!$A$2:$B$11,2,0)</f>
        <v>Morocco</v>
      </c>
      <c r="E219" s="0" t="s">
        <v>44</v>
      </c>
      <c r="F219" s="59" t="str">
        <f aca="false">VLOOKUP(E219,Models!$A$2:$B$13,2,0)</f>
        <v>55-inch 4K TV</v>
      </c>
      <c r="G219" s="9" t="n">
        <v>125</v>
      </c>
      <c r="H219" s="9" t="n">
        <v>1792500</v>
      </c>
      <c r="I219" s="0" t="s">
        <v>83</v>
      </c>
    </row>
    <row r="220" customFormat="false" ht="12.8" hidden="false" customHeight="false" outlineLevel="0" collapsed="false">
      <c r="A220" s="0" t="s">
        <v>23</v>
      </c>
      <c r="B220" s="0" t="s">
        <v>19</v>
      </c>
      <c r="C220" s="0" t="s">
        <v>89</v>
      </c>
      <c r="D220" s="59" t="str">
        <f aca="false">VLOOKUP(C220,Countries!$A$2:$B$11,2,0)</f>
        <v>Morocco</v>
      </c>
      <c r="E220" s="0" t="s">
        <v>42</v>
      </c>
      <c r="F220" s="59" t="str">
        <f aca="false">VLOOKUP(E220,Models!$A$2:$B$13,2,0)</f>
        <v>65-inch QLED TV</v>
      </c>
      <c r="G220" s="9" t="n">
        <v>129</v>
      </c>
      <c r="H220" s="9" t="n">
        <v>3684240</v>
      </c>
      <c r="I220" s="0" t="s">
        <v>83</v>
      </c>
    </row>
    <row r="221" customFormat="false" ht="12.8" hidden="false" customHeight="false" outlineLevel="0" collapsed="false">
      <c r="A221" s="0" t="s">
        <v>23</v>
      </c>
      <c r="B221" s="0" t="s">
        <v>19</v>
      </c>
      <c r="C221" s="0" t="s">
        <v>90</v>
      </c>
      <c r="D221" s="59" t="str">
        <f aca="false">VLOOKUP(C221,Countries!$A$2:$B$11,2,0)</f>
        <v>Nigeria</v>
      </c>
      <c r="E221" s="0" t="s">
        <v>48</v>
      </c>
      <c r="F221" s="59" t="str">
        <f aca="false">VLOOKUP(E221,Models!$A$2:$B$13,2,0)</f>
        <v>55-inch QLED TV</v>
      </c>
      <c r="G221" s="9" t="n">
        <v>113</v>
      </c>
      <c r="H221" s="9" t="n">
        <v>2054340</v>
      </c>
      <c r="I221" s="0" t="s">
        <v>83</v>
      </c>
    </row>
    <row r="222" customFormat="false" ht="12.8" hidden="false" customHeight="false" outlineLevel="0" collapsed="false">
      <c r="A222" s="0" t="s">
        <v>23</v>
      </c>
      <c r="B222" s="0" t="s">
        <v>19</v>
      </c>
      <c r="C222" s="0" t="s">
        <v>90</v>
      </c>
      <c r="D222" s="59" t="str">
        <f aca="false">VLOOKUP(C222,Countries!$A$2:$B$11,2,0)</f>
        <v>Nigeria</v>
      </c>
      <c r="E222" s="0" t="s">
        <v>42</v>
      </c>
      <c r="F222" s="59" t="str">
        <f aca="false">VLOOKUP(E222,Models!$A$2:$B$13,2,0)</f>
        <v>65-inch QLED TV</v>
      </c>
      <c r="G222" s="9" t="n">
        <v>67</v>
      </c>
      <c r="H222" s="9" t="n">
        <v>1913520</v>
      </c>
      <c r="I222" s="0" t="s">
        <v>83</v>
      </c>
    </row>
    <row r="223" customFormat="false" ht="12.8" hidden="false" customHeight="false" outlineLevel="0" collapsed="false">
      <c r="A223" s="0" t="s">
        <v>23</v>
      </c>
      <c r="B223" s="0" t="s">
        <v>19</v>
      </c>
      <c r="C223" s="0" t="s">
        <v>91</v>
      </c>
      <c r="D223" s="59" t="str">
        <f aca="false">VLOOKUP(C223,Countries!$A$2:$B$11,2,0)</f>
        <v>Saudi Arabia</v>
      </c>
      <c r="E223" s="0" t="s">
        <v>46</v>
      </c>
      <c r="F223" s="59" t="str">
        <f aca="false">VLOOKUP(E223,Models!$A$2:$B$13,2,0)</f>
        <v>43-inch Full HD TV</v>
      </c>
      <c r="G223" s="9" t="n">
        <v>50</v>
      </c>
      <c r="H223" s="9" t="n">
        <v>402500</v>
      </c>
      <c r="I223" s="0" t="s">
        <v>83</v>
      </c>
    </row>
    <row r="224" customFormat="false" ht="12.8" hidden="false" customHeight="false" outlineLevel="0" collapsed="false">
      <c r="A224" s="0" t="s">
        <v>23</v>
      </c>
      <c r="B224" s="0" t="s">
        <v>19</v>
      </c>
      <c r="C224" s="0" t="s">
        <v>91</v>
      </c>
      <c r="D224" s="59" t="str">
        <f aca="false">VLOOKUP(C224,Countries!$A$2:$B$11,2,0)</f>
        <v>Saudi Arabia</v>
      </c>
      <c r="E224" s="0" t="s">
        <v>40</v>
      </c>
      <c r="F224" s="59" t="str">
        <f aca="false">VLOOKUP(E224,Models!$A$2:$B$13,2,0)</f>
        <v>65-inch 4K TV</v>
      </c>
      <c r="G224" s="9" t="n">
        <v>131</v>
      </c>
      <c r="H224" s="9" t="n">
        <v>3023480</v>
      </c>
      <c r="I224" s="0" t="s">
        <v>83</v>
      </c>
    </row>
    <row r="225" customFormat="false" ht="12.8" hidden="false" customHeight="false" outlineLevel="0" collapsed="false">
      <c r="A225" s="0" t="s">
        <v>23</v>
      </c>
      <c r="B225" s="0" t="s">
        <v>19</v>
      </c>
      <c r="C225" s="0" t="s">
        <v>91</v>
      </c>
      <c r="D225" s="59" t="str">
        <f aca="false">VLOOKUP(C225,Countries!$A$2:$B$11,2,0)</f>
        <v>Saudi Arabia</v>
      </c>
      <c r="E225" s="0" t="s">
        <v>41</v>
      </c>
      <c r="F225" s="59" t="str">
        <f aca="false">VLOOKUP(E225,Models!$A$2:$B$13,2,0)</f>
        <v>75-inch 4K TV</v>
      </c>
      <c r="G225" s="9" t="n">
        <v>134</v>
      </c>
      <c r="H225" s="9" t="n">
        <v>4873580</v>
      </c>
      <c r="I225" s="0" t="s">
        <v>83</v>
      </c>
    </row>
    <row r="226" customFormat="false" ht="12.8" hidden="false" customHeight="false" outlineLevel="0" collapsed="false">
      <c r="A226" s="0" t="s">
        <v>25</v>
      </c>
      <c r="B226" s="0" t="s">
        <v>19</v>
      </c>
      <c r="C226" s="0" t="s">
        <v>82</v>
      </c>
      <c r="D226" s="59" t="str">
        <f aca="false">VLOOKUP(C226,Countries!$A$2:$B$11,2,0)</f>
        <v>United Arab Emirates</v>
      </c>
      <c r="E226" s="0" t="s">
        <v>43</v>
      </c>
      <c r="F226" s="59" t="str">
        <f aca="false">VLOOKUP(E226,Models!$A$2:$B$13,2,0)</f>
        <v>32-inch HD TV</v>
      </c>
      <c r="G226" s="9" t="n">
        <v>113</v>
      </c>
      <c r="H226" s="9" t="n">
        <v>514150</v>
      </c>
      <c r="I226" s="0" t="s">
        <v>92</v>
      </c>
    </row>
    <row r="227" customFormat="false" ht="12.8" hidden="false" customHeight="false" outlineLevel="0" collapsed="false">
      <c r="A227" s="0" t="s">
        <v>25</v>
      </c>
      <c r="B227" s="0" t="s">
        <v>19</v>
      </c>
      <c r="C227" s="0" t="s">
        <v>82</v>
      </c>
      <c r="D227" s="59" t="str">
        <f aca="false">VLOOKUP(C227,Countries!$A$2:$B$11,2,0)</f>
        <v>United Arab Emirates</v>
      </c>
      <c r="E227" s="0" t="s">
        <v>47</v>
      </c>
      <c r="F227" s="59" t="str">
        <f aca="false">VLOOKUP(E227,Models!$A$2:$B$13,2,0)</f>
        <v>32-inch Smart TV</v>
      </c>
      <c r="G227" s="9" t="n">
        <v>20</v>
      </c>
      <c r="H227" s="9" t="n">
        <v>107200</v>
      </c>
      <c r="I227" s="0" t="s">
        <v>92</v>
      </c>
    </row>
    <row r="228" customFormat="false" ht="12.8" hidden="false" customHeight="false" outlineLevel="0" collapsed="false">
      <c r="A228" s="0" t="s">
        <v>25</v>
      </c>
      <c r="B228" s="0" t="s">
        <v>19</v>
      </c>
      <c r="C228" s="0" t="s">
        <v>82</v>
      </c>
      <c r="D228" s="59" t="str">
        <f aca="false">VLOOKUP(C228,Countries!$A$2:$B$11,2,0)</f>
        <v>United Arab Emirates</v>
      </c>
      <c r="E228" s="0" t="s">
        <v>46</v>
      </c>
      <c r="F228" s="59" t="str">
        <f aca="false">VLOOKUP(E228,Models!$A$2:$B$13,2,0)</f>
        <v>43-inch Full HD TV</v>
      </c>
      <c r="G228" s="9" t="n">
        <v>37</v>
      </c>
      <c r="H228" s="9" t="n">
        <v>297850</v>
      </c>
      <c r="I228" s="0" t="s">
        <v>92</v>
      </c>
    </row>
    <row r="229" customFormat="false" ht="12.8" hidden="false" customHeight="false" outlineLevel="0" collapsed="false">
      <c r="A229" s="0" t="s">
        <v>25</v>
      </c>
      <c r="B229" s="0" t="s">
        <v>19</v>
      </c>
      <c r="C229" s="0" t="s">
        <v>82</v>
      </c>
      <c r="D229" s="59" t="str">
        <f aca="false">VLOOKUP(C229,Countries!$A$2:$B$11,2,0)</f>
        <v>United Arab Emirates</v>
      </c>
      <c r="E229" s="0" t="s">
        <v>48</v>
      </c>
      <c r="F229" s="59" t="str">
        <f aca="false">VLOOKUP(E229,Models!$A$2:$B$13,2,0)</f>
        <v>55-inch QLED TV</v>
      </c>
      <c r="G229" s="9" t="n">
        <v>54</v>
      </c>
      <c r="H229" s="9" t="n">
        <v>981720</v>
      </c>
      <c r="I229" s="0" t="s">
        <v>92</v>
      </c>
    </row>
    <row r="230" customFormat="false" ht="12.8" hidden="false" customHeight="false" outlineLevel="0" collapsed="false">
      <c r="A230" s="0" t="s">
        <v>25</v>
      </c>
      <c r="B230" s="0" t="s">
        <v>19</v>
      </c>
      <c r="C230" s="0" t="s">
        <v>82</v>
      </c>
      <c r="D230" s="59" t="str">
        <f aca="false">VLOOKUP(C230,Countries!$A$2:$B$11,2,0)</f>
        <v>United Arab Emirates</v>
      </c>
      <c r="E230" s="0" t="s">
        <v>40</v>
      </c>
      <c r="F230" s="59" t="str">
        <f aca="false">VLOOKUP(E230,Models!$A$2:$B$13,2,0)</f>
        <v>65-inch 4K TV</v>
      </c>
      <c r="G230" s="9" t="n">
        <v>83</v>
      </c>
      <c r="H230" s="9" t="n">
        <v>1915640</v>
      </c>
      <c r="I230" s="0" t="s">
        <v>92</v>
      </c>
    </row>
    <row r="231" customFormat="false" ht="12.8" hidden="false" customHeight="false" outlineLevel="0" collapsed="false">
      <c r="A231" s="0" t="s">
        <v>25</v>
      </c>
      <c r="B231" s="0" t="s">
        <v>19</v>
      </c>
      <c r="C231" s="0" t="s">
        <v>82</v>
      </c>
      <c r="D231" s="59" t="str">
        <f aca="false">VLOOKUP(C231,Countries!$A$2:$B$11,2,0)</f>
        <v>United Arab Emirates</v>
      </c>
      <c r="E231" s="0" t="s">
        <v>42</v>
      </c>
      <c r="F231" s="59" t="str">
        <f aca="false">VLOOKUP(E231,Models!$A$2:$B$13,2,0)</f>
        <v>65-inch QLED TV</v>
      </c>
      <c r="G231" s="9" t="n">
        <v>39</v>
      </c>
      <c r="H231" s="9" t="n">
        <v>1113840</v>
      </c>
      <c r="I231" s="0" t="s">
        <v>92</v>
      </c>
    </row>
    <row r="232" customFormat="false" ht="12.8" hidden="false" customHeight="false" outlineLevel="0" collapsed="false">
      <c r="A232" s="0" t="s">
        <v>25</v>
      </c>
      <c r="B232" s="0" t="s">
        <v>19</v>
      </c>
      <c r="C232" s="0" t="s">
        <v>84</v>
      </c>
      <c r="D232" s="59" t="str">
        <f aca="false">VLOOKUP(C232,Countries!$A$2:$B$11,2,0)</f>
        <v>Iraq</v>
      </c>
      <c r="E232" s="0" t="s">
        <v>51</v>
      </c>
      <c r="F232" s="59" t="str">
        <f aca="false">VLOOKUP(E232,Models!$A$2:$B$13,2,0)</f>
        <v>24-inch HD TV</v>
      </c>
      <c r="G232" s="9" t="n">
        <v>107</v>
      </c>
      <c r="H232" s="9" t="n">
        <v>361660</v>
      </c>
      <c r="I232" s="0" t="s">
        <v>92</v>
      </c>
    </row>
    <row r="233" customFormat="false" ht="12.8" hidden="false" customHeight="false" outlineLevel="0" collapsed="false">
      <c r="A233" s="0" t="s">
        <v>25</v>
      </c>
      <c r="B233" s="0" t="s">
        <v>19</v>
      </c>
      <c r="C233" s="0" t="s">
        <v>84</v>
      </c>
      <c r="D233" s="59" t="str">
        <f aca="false">VLOOKUP(C233,Countries!$A$2:$B$11,2,0)</f>
        <v>Iraq</v>
      </c>
      <c r="E233" s="0" t="s">
        <v>47</v>
      </c>
      <c r="F233" s="59" t="str">
        <f aca="false">VLOOKUP(E233,Models!$A$2:$B$13,2,0)</f>
        <v>32-inch Smart TV</v>
      </c>
      <c r="G233" s="9" t="n">
        <v>132</v>
      </c>
      <c r="H233" s="9" t="n">
        <v>707520</v>
      </c>
      <c r="I233" s="0" t="s">
        <v>92</v>
      </c>
    </row>
    <row r="234" customFormat="false" ht="12.8" hidden="false" customHeight="false" outlineLevel="0" collapsed="false">
      <c r="A234" s="0" t="s">
        <v>25</v>
      </c>
      <c r="B234" s="0" t="s">
        <v>19</v>
      </c>
      <c r="C234" s="0" t="s">
        <v>84</v>
      </c>
      <c r="D234" s="59" t="str">
        <f aca="false">VLOOKUP(C234,Countries!$A$2:$B$11,2,0)</f>
        <v>Iraq</v>
      </c>
      <c r="E234" s="0" t="s">
        <v>49</v>
      </c>
      <c r="F234" s="59" t="str">
        <f aca="false">VLOOKUP(E234,Models!$A$2:$B$13,2,0)</f>
        <v>43-inch Smart TV</v>
      </c>
      <c r="G234" s="9" t="n">
        <v>65</v>
      </c>
      <c r="H234" s="9" t="n">
        <v>590850</v>
      </c>
      <c r="I234" s="0" t="s">
        <v>92</v>
      </c>
    </row>
    <row r="235" customFormat="false" ht="12.8" hidden="false" customHeight="false" outlineLevel="0" collapsed="false">
      <c r="A235" s="0" t="s">
        <v>25</v>
      </c>
      <c r="B235" s="0" t="s">
        <v>19</v>
      </c>
      <c r="C235" s="0" t="s">
        <v>84</v>
      </c>
      <c r="D235" s="59" t="str">
        <f aca="false">VLOOKUP(C235,Countries!$A$2:$B$11,2,0)</f>
        <v>Iraq</v>
      </c>
      <c r="E235" s="0" t="s">
        <v>44</v>
      </c>
      <c r="F235" s="59" t="str">
        <f aca="false">VLOOKUP(E235,Models!$A$2:$B$13,2,0)</f>
        <v>55-inch 4K TV</v>
      </c>
      <c r="G235" s="9" t="n">
        <v>124</v>
      </c>
      <c r="H235" s="9" t="n">
        <v>1778160</v>
      </c>
      <c r="I235" s="0" t="s">
        <v>92</v>
      </c>
    </row>
    <row r="236" customFormat="false" ht="12.8" hidden="false" customHeight="false" outlineLevel="0" collapsed="false">
      <c r="A236" s="0" t="s">
        <v>25</v>
      </c>
      <c r="B236" s="0" t="s">
        <v>19</v>
      </c>
      <c r="C236" s="0" t="s">
        <v>84</v>
      </c>
      <c r="D236" s="59" t="str">
        <f aca="false">VLOOKUP(C236,Countries!$A$2:$B$11,2,0)</f>
        <v>Iraq</v>
      </c>
      <c r="E236" s="0" t="s">
        <v>48</v>
      </c>
      <c r="F236" s="59" t="str">
        <f aca="false">VLOOKUP(E236,Models!$A$2:$B$13,2,0)</f>
        <v>55-inch QLED TV</v>
      </c>
      <c r="G236" s="9" t="n">
        <v>46</v>
      </c>
      <c r="H236" s="9" t="n">
        <v>836280</v>
      </c>
      <c r="I236" s="0" t="s">
        <v>92</v>
      </c>
    </row>
    <row r="237" customFormat="false" ht="12.8" hidden="false" customHeight="false" outlineLevel="0" collapsed="false">
      <c r="A237" s="0" t="s">
        <v>25</v>
      </c>
      <c r="B237" s="0" t="s">
        <v>19</v>
      </c>
      <c r="C237" s="0" t="s">
        <v>84</v>
      </c>
      <c r="D237" s="59" t="str">
        <f aca="false">VLOOKUP(C237,Countries!$A$2:$B$11,2,0)</f>
        <v>Iraq</v>
      </c>
      <c r="E237" s="0" t="s">
        <v>42</v>
      </c>
      <c r="F237" s="59" t="str">
        <f aca="false">VLOOKUP(E237,Models!$A$2:$B$13,2,0)</f>
        <v>65-inch QLED TV</v>
      </c>
      <c r="G237" s="9" t="n">
        <v>122</v>
      </c>
      <c r="H237" s="9" t="n">
        <v>3484320</v>
      </c>
      <c r="I237" s="0" t="s">
        <v>92</v>
      </c>
    </row>
    <row r="238" customFormat="false" ht="12.8" hidden="false" customHeight="false" outlineLevel="0" collapsed="false">
      <c r="A238" s="0" t="s">
        <v>25</v>
      </c>
      <c r="B238" s="0" t="s">
        <v>19</v>
      </c>
      <c r="C238" s="0" t="s">
        <v>84</v>
      </c>
      <c r="D238" s="59" t="str">
        <f aca="false">VLOOKUP(C238,Countries!$A$2:$B$11,2,0)</f>
        <v>Iraq</v>
      </c>
      <c r="E238" s="0" t="s">
        <v>41</v>
      </c>
      <c r="F238" s="59" t="str">
        <f aca="false">VLOOKUP(E238,Models!$A$2:$B$13,2,0)</f>
        <v>75-inch 4K TV</v>
      </c>
      <c r="G238" s="9" t="n">
        <v>97</v>
      </c>
      <c r="H238" s="9" t="n">
        <v>3527890</v>
      </c>
      <c r="I238" s="0" t="s">
        <v>92</v>
      </c>
    </row>
    <row r="239" customFormat="false" ht="12.8" hidden="false" customHeight="false" outlineLevel="0" collapsed="false">
      <c r="A239" s="0" t="s">
        <v>25</v>
      </c>
      <c r="B239" s="0" t="s">
        <v>19</v>
      </c>
      <c r="C239" s="0" t="s">
        <v>85</v>
      </c>
      <c r="D239" s="59" t="str">
        <f aca="false">VLOOKUP(C239,Countries!$A$2:$B$11,2,0)</f>
        <v>Jordan</v>
      </c>
      <c r="E239" s="0" t="s">
        <v>47</v>
      </c>
      <c r="F239" s="59" t="str">
        <f aca="false">VLOOKUP(E239,Models!$A$2:$B$13,2,0)</f>
        <v>32-inch Smart TV</v>
      </c>
      <c r="G239" s="9" t="n">
        <v>55</v>
      </c>
      <c r="H239" s="9" t="n">
        <v>294800</v>
      </c>
      <c r="I239" s="0" t="s">
        <v>92</v>
      </c>
    </row>
    <row r="240" customFormat="false" ht="12.8" hidden="false" customHeight="false" outlineLevel="0" collapsed="false">
      <c r="A240" s="0" t="s">
        <v>25</v>
      </c>
      <c r="B240" s="0" t="s">
        <v>19</v>
      </c>
      <c r="C240" s="0" t="s">
        <v>85</v>
      </c>
      <c r="D240" s="59" t="str">
        <f aca="false">VLOOKUP(C240,Countries!$A$2:$B$11,2,0)</f>
        <v>Jordan</v>
      </c>
      <c r="E240" s="0" t="s">
        <v>46</v>
      </c>
      <c r="F240" s="59" t="str">
        <f aca="false">VLOOKUP(E240,Models!$A$2:$B$13,2,0)</f>
        <v>43-inch Full HD TV</v>
      </c>
      <c r="G240" s="9" t="n">
        <v>75</v>
      </c>
      <c r="H240" s="9" t="n">
        <v>603750</v>
      </c>
      <c r="I240" s="0" t="s">
        <v>92</v>
      </c>
    </row>
    <row r="241" customFormat="false" ht="12.8" hidden="false" customHeight="false" outlineLevel="0" collapsed="false">
      <c r="A241" s="0" t="s">
        <v>25</v>
      </c>
      <c r="B241" s="0" t="s">
        <v>19</v>
      </c>
      <c r="C241" s="0" t="s">
        <v>85</v>
      </c>
      <c r="D241" s="59" t="str">
        <f aca="false">VLOOKUP(C241,Countries!$A$2:$B$11,2,0)</f>
        <v>Jordan</v>
      </c>
      <c r="E241" s="0" t="s">
        <v>40</v>
      </c>
      <c r="F241" s="59" t="str">
        <f aca="false">VLOOKUP(E241,Models!$A$2:$B$13,2,0)</f>
        <v>65-inch 4K TV</v>
      </c>
      <c r="G241" s="9" t="n">
        <v>68</v>
      </c>
      <c r="H241" s="9" t="n">
        <v>1569440</v>
      </c>
      <c r="I241" s="0" t="s">
        <v>92</v>
      </c>
    </row>
    <row r="242" customFormat="false" ht="12.8" hidden="false" customHeight="false" outlineLevel="0" collapsed="false">
      <c r="A242" s="0" t="s">
        <v>25</v>
      </c>
      <c r="B242" s="0" t="s">
        <v>19</v>
      </c>
      <c r="C242" s="0" t="s">
        <v>85</v>
      </c>
      <c r="D242" s="59" t="str">
        <f aca="false">VLOOKUP(C242,Countries!$A$2:$B$11,2,0)</f>
        <v>Jordan</v>
      </c>
      <c r="E242" s="0" t="s">
        <v>42</v>
      </c>
      <c r="F242" s="59" t="str">
        <f aca="false">VLOOKUP(E242,Models!$A$2:$B$13,2,0)</f>
        <v>65-inch QLED TV</v>
      </c>
      <c r="G242" s="9" t="n">
        <v>45</v>
      </c>
      <c r="H242" s="9" t="n">
        <v>1285200</v>
      </c>
      <c r="I242" s="0" t="s">
        <v>92</v>
      </c>
    </row>
    <row r="243" customFormat="false" ht="12.8" hidden="false" customHeight="false" outlineLevel="0" collapsed="false">
      <c r="A243" s="0" t="s">
        <v>25</v>
      </c>
      <c r="B243" s="0" t="s">
        <v>19</v>
      </c>
      <c r="C243" s="0" t="s">
        <v>86</v>
      </c>
      <c r="D243" s="59" t="str">
        <f aca="false">VLOOKUP(C243,Countries!$A$2:$B$11,2,0)</f>
        <v>Kenya</v>
      </c>
      <c r="E243" s="0" t="s">
        <v>43</v>
      </c>
      <c r="F243" s="59" t="str">
        <f aca="false">VLOOKUP(E243,Models!$A$2:$B$13,2,0)</f>
        <v>32-inch HD TV</v>
      </c>
      <c r="G243" s="9" t="n">
        <v>22</v>
      </c>
      <c r="H243" s="9" t="n">
        <v>100100</v>
      </c>
      <c r="I243" s="0" t="s">
        <v>92</v>
      </c>
    </row>
    <row r="244" customFormat="false" ht="12.8" hidden="false" customHeight="false" outlineLevel="0" collapsed="false">
      <c r="A244" s="0" t="s">
        <v>25</v>
      </c>
      <c r="B244" s="0" t="s">
        <v>19</v>
      </c>
      <c r="C244" s="0" t="s">
        <v>86</v>
      </c>
      <c r="D244" s="59" t="str">
        <f aca="false">VLOOKUP(C244,Countries!$A$2:$B$11,2,0)</f>
        <v>Kenya</v>
      </c>
      <c r="E244" s="0" t="s">
        <v>49</v>
      </c>
      <c r="F244" s="59" t="str">
        <f aca="false">VLOOKUP(E244,Models!$A$2:$B$13,2,0)</f>
        <v>43-inch Smart TV</v>
      </c>
      <c r="G244" s="9" t="n">
        <v>55</v>
      </c>
      <c r="H244" s="9" t="n">
        <v>499950</v>
      </c>
      <c r="I244" s="0" t="s">
        <v>92</v>
      </c>
    </row>
    <row r="245" customFormat="false" ht="12.8" hidden="false" customHeight="false" outlineLevel="0" collapsed="false">
      <c r="A245" s="0" t="s">
        <v>25</v>
      </c>
      <c r="B245" s="0" t="s">
        <v>19</v>
      </c>
      <c r="C245" s="0" t="s">
        <v>86</v>
      </c>
      <c r="D245" s="59" t="str">
        <f aca="false">VLOOKUP(C245,Countries!$A$2:$B$11,2,0)</f>
        <v>Kenya</v>
      </c>
      <c r="E245" s="0" t="s">
        <v>50</v>
      </c>
      <c r="F245" s="59" t="str">
        <f aca="false">VLOOKUP(E245,Models!$A$2:$B$13,2,0)</f>
        <v>50-inch 4K TV</v>
      </c>
      <c r="G245" s="9" t="n">
        <v>78</v>
      </c>
      <c r="H245" s="9" t="n">
        <v>946140</v>
      </c>
      <c r="I245" s="0" t="s">
        <v>92</v>
      </c>
    </row>
    <row r="246" customFormat="false" ht="12.8" hidden="false" customHeight="false" outlineLevel="0" collapsed="false">
      <c r="A246" s="0" t="s">
        <v>25</v>
      </c>
      <c r="B246" s="0" t="s">
        <v>19</v>
      </c>
      <c r="C246" s="0" t="s">
        <v>86</v>
      </c>
      <c r="D246" s="59" t="str">
        <f aca="false">VLOOKUP(C246,Countries!$A$2:$B$11,2,0)</f>
        <v>Kenya</v>
      </c>
      <c r="E246" s="0" t="s">
        <v>44</v>
      </c>
      <c r="F246" s="59" t="str">
        <f aca="false">VLOOKUP(E246,Models!$A$2:$B$13,2,0)</f>
        <v>55-inch 4K TV</v>
      </c>
      <c r="G246" s="9" t="n">
        <v>63</v>
      </c>
      <c r="H246" s="9" t="n">
        <v>903420</v>
      </c>
      <c r="I246" s="0" t="s">
        <v>92</v>
      </c>
    </row>
    <row r="247" customFormat="false" ht="12.8" hidden="false" customHeight="false" outlineLevel="0" collapsed="false">
      <c r="A247" s="0" t="s">
        <v>25</v>
      </c>
      <c r="B247" s="0" t="s">
        <v>19</v>
      </c>
      <c r="C247" s="0" t="s">
        <v>86</v>
      </c>
      <c r="D247" s="59" t="str">
        <f aca="false">VLOOKUP(C247,Countries!$A$2:$B$11,2,0)</f>
        <v>Kenya</v>
      </c>
      <c r="E247" s="0" t="s">
        <v>40</v>
      </c>
      <c r="F247" s="59" t="str">
        <f aca="false">VLOOKUP(E247,Models!$A$2:$B$13,2,0)</f>
        <v>65-inch 4K TV</v>
      </c>
      <c r="G247" s="9" t="n">
        <v>22</v>
      </c>
      <c r="H247" s="9" t="n">
        <v>507760</v>
      </c>
      <c r="I247" s="0" t="s">
        <v>92</v>
      </c>
    </row>
    <row r="248" customFormat="false" ht="12.8" hidden="false" customHeight="false" outlineLevel="0" collapsed="false">
      <c r="A248" s="0" t="s">
        <v>25</v>
      </c>
      <c r="B248" s="0" t="s">
        <v>19</v>
      </c>
      <c r="C248" s="0" t="s">
        <v>87</v>
      </c>
      <c r="D248" s="59" t="str">
        <f aca="false">VLOOKUP(C248,Countries!$A$2:$B$11,2,0)</f>
        <v>Kuwait</v>
      </c>
      <c r="E248" s="0" t="s">
        <v>51</v>
      </c>
      <c r="F248" s="59" t="str">
        <f aca="false">VLOOKUP(E248,Models!$A$2:$B$13,2,0)</f>
        <v>24-inch HD TV</v>
      </c>
      <c r="G248" s="9" t="n">
        <v>64</v>
      </c>
      <c r="H248" s="9" t="n">
        <v>216320</v>
      </c>
      <c r="I248" s="0" t="s">
        <v>92</v>
      </c>
    </row>
    <row r="249" customFormat="false" ht="12.8" hidden="false" customHeight="false" outlineLevel="0" collapsed="false">
      <c r="A249" s="0" t="s">
        <v>25</v>
      </c>
      <c r="B249" s="0" t="s">
        <v>19</v>
      </c>
      <c r="C249" s="0" t="s">
        <v>87</v>
      </c>
      <c r="D249" s="59" t="str">
        <f aca="false">VLOOKUP(C249,Countries!$A$2:$B$11,2,0)</f>
        <v>Kuwait</v>
      </c>
      <c r="E249" s="0" t="s">
        <v>47</v>
      </c>
      <c r="F249" s="59" t="str">
        <f aca="false">VLOOKUP(E249,Models!$A$2:$B$13,2,0)</f>
        <v>32-inch Smart TV</v>
      </c>
      <c r="G249" s="9" t="n">
        <v>85</v>
      </c>
      <c r="H249" s="9" t="n">
        <v>455600</v>
      </c>
      <c r="I249" s="0" t="s">
        <v>92</v>
      </c>
    </row>
    <row r="250" customFormat="false" ht="12.8" hidden="false" customHeight="false" outlineLevel="0" collapsed="false">
      <c r="A250" s="0" t="s">
        <v>25</v>
      </c>
      <c r="B250" s="0" t="s">
        <v>19</v>
      </c>
      <c r="C250" s="0" t="s">
        <v>87</v>
      </c>
      <c r="D250" s="59" t="str">
        <f aca="false">VLOOKUP(C250,Countries!$A$2:$B$11,2,0)</f>
        <v>Kuwait</v>
      </c>
      <c r="E250" s="0" t="s">
        <v>44</v>
      </c>
      <c r="F250" s="59" t="str">
        <f aca="false">VLOOKUP(E250,Models!$A$2:$B$13,2,0)</f>
        <v>55-inch 4K TV</v>
      </c>
      <c r="G250" s="9" t="n">
        <v>68</v>
      </c>
      <c r="H250" s="9" t="n">
        <v>975120</v>
      </c>
      <c r="I250" s="0" t="s">
        <v>92</v>
      </c>
    </row>
    <row r="251" customFormat="false" ht="12.8" hidden="false" customHeight="false" outlineLevel="0" collapsed="false">
      <c r="A251" s="0" t="s">
        <v>25</v>
      </c>
      <c r="B251" s="0" t="s">
        <v>19</v>
      </c>
      <c r="C251" s="0" t="s">
        <v>87</v>
      </c>
      <c r="D251" s="59" t="str">
        <f aca="false">VLOOKUP(C251,Countries!$A$2:$B$11,2,0)</f>
        <v>Kuwait</v>
      </c>
      <c r="E251" s="0" t="s">
        <v>42</v>
      </c>
      <c r="F251" s="59" t="str">
        <f aca="false">VLOOKUP(E251,Models!$A$2:$B$13,2,0)</f>
        <v>65-inch QLED TV</v>
      </c>
      <c r="G251" s="9" t="n">
        <v>77</v>
      </c>
      <c r="H251" s="9" t="n">
        <v>2199120</v>
      </c>
      <c r="I251" s="0" t="s">
        <v>92</v>
      </c>
    </row>
    <row r="252" customFormat="false" ht="12.8" hidden="false" customHeight="false" outlineLevel="0" collapsed="false">
      <c r="A252" s="0" t="s">
        <v>25</v>
      </c>
      <c r="B252" s="0" t="s">
        <v>19</v>
      </c>
      <c r="C252" s="0" t="s">
        <v>88</v>
      </c>
      <c r="D252" s="59" t="str">
        <f aca="false">VLOOKUP(C252,Countries!$A$2:$B$11,2,0)</f>
        <v>Libya</v>
      </c>
      <c r="E252" s="0" t="s">
        <v>51</v>
      </c>
      <c r="F252" s="59" t="str">
        <f aca="false">VLOOKUP(E252,Models!$A$2:$B$13,2,0)</f>
        <v>24-inch HD TV</v>
      </c>
      <c r="G252" s="9" t="n">
        <v>49</v>
      </c>
      <c r="H252" s="9" t="n">
        <v>165620</v>
      </c>
      <c r="I252" s="0" t="s">
        <v>92</v>
      </c>
    </row>
    <row r="253" customFormat="false" ht="12.8" hidden="false" customHeight="false" outlineLevel="0" collapsed="false">
      <c r="A253" s="0" t="s">
        <v>25</v>
      </c>
      <c r="B253" s="0" t="s">
        <v>19</v>
      </c>
      <c r="C253" s="0" t="s">
        <v>88</v>
      </c>
      <c r="D253" s="59" t="str">
        <f aca="false">VLOOKUP(C253,Countries!$A$2:$B$11,2,0)</f>
        <v>Libya</v>
      </c>
      <c r="E253" s="0" t="s">
        <v>47</v>
      </c>
      <c r="F253" s="59" t="str">
        <f aca="false">VLOOKUP(E253,Models!$A$2:$B$13,2,0)</f>
        <v>32-inch Smart TV</v>
      </c>
      <c r="G253" s="9" t="n">
        <v>42</v>
      </c>
      <c r="H253" s="9" t="n">
        <v>225120</v>
      </c>
      <c r="I253" s="0" t="s">
        <v>92</v>
      </c>
    </row>
    <row r="254" customFormat="false" ht="12.8" hidden="false" customHeight="false" outlineLevel="0" collapsed="false">
      <c r="A254" s="0" t="s">
        <v>25</v>
      </c>
      <c r="B254" s="0" t="s">
        <v>19</v>
      </c>
      <c r="C254" s="0" t="s">
        <v>88</v>
      </c>
      <c r="D254" s="59" t="str">
        <f aca="false">VLOOKUP(C254,Countries!$A$2:$B$11,2,0)</f>
        <v>Libya</v>
      </c>
      <c r="E254" s="0" t="s">
        <v>48</v>
      </c>
      <c r="F254" s="59" t="str">
        <f aca="false">VLOOKUP(E254,Models!$A$2:$B$13,2,0)</f>
        <v>55-inch QLED TV</v>
      </c>
      <c r="G254" s="9" t="n">
        <v>116</v>
      </c>
      <c r="H254" s="9" t="n">
        <v>2108880</v>
      </c>
      <c r="I254" s="0" t="s">
        <v>92</v>
      </c>
    </row>
    <row r="255" customFormat="false" ht="12.8" hidden="false" customHeight="false" outlineLevel="0" collapsed="false">
      <c r="A255" s="0" t="s">
        <v>25</v>
      </c>
      <c r="B255" s="0" t="s">
        <v>19</v>
      </c>
      <c r="C255" s="0" t="s">
        <v>88</v>
      </c>
      <c r="D255" s="59" t="str">
        <f aca="false">VLOOKUP(C255,Countries!$A$2:$B$11,2,0)</f>
        <v>Libya</v>
      </c>
      <c r="E255" s="0" t="s">
        <v>42</v>
      </c>
      <c r="F255" s="59" t="str">
        <f aca="false">VLOOKUP(E255,Models!$A$2:$B$13,2,0)</f>
        <v>65-inch QLED TV</v>
      </c>
      <c r="G255" s="9" t="n">
        <v>116</v>
      </c>
      <c r="H255" s="9" t="n">
        <v>3312960</v>
      </c>
      <c r="I255" s="0" t="s">
        <v>92</v>
      </c>
    </row>
    <row r="256" customFormat="false" ht="12.8" hidden="false" customHeight="false" outlineLevel="0" collapsed="false">
      <c r="A256" s="0" t="s">
        <v>25</v>
      </c>
      <c r="B256" s="0" t="s">
        <v>19</v>
      </c>
      <c r="C256" s="0" t="s">
        <v>88</v>
      </c>
      <c r="D256" s="59" t="str">
        <f aca="false">VLOOKUP(C256,Countries!$A$2:$B$11,2,0)</f>
        <v>Libya</v>
      </c>
      <c r="E256" s="0" t="s">
        <v>41</v>
      </c>
      <c r="F256" s="59" t="str">
        <f aca="false">VLOOKUP(E256,Models!$A$2:$B$13,2,0)</f>
        <v>75-inch 4K TV</v>
      </c>
      <c r="G256" s="9" t="n">
        <v>27</v>
      </c>
      <c r="H256" s="9" t="n">
        <v>981990</v>
      </c>
      <c r="I256" s="0" t="s">
        <v>92</v>
      </c>
    </row>
    <row r="257" customFormat="false" ht="12.8" hidden="false" customHeight="false" outlineLevel="0" collapsed="false">
      <c r="A257" s="0" t="s">
        <v>25</v>
      </c>
      <c r="B257" s="0" t="s">
        <v>19</v>
      </c>
      <c r="C257" s="0" t="s">
        <v>89</v>
      </c>
      <c r="D257" s="59" t="str">
        <f aca="false">VLOOKUP(C257,Countries!$A$2:$B$11,2,0)</f>
        <v>Morocco</v>
      </c>
      <c r="E257" s="0" t="s">
        <v>45</v>
      </c>
      <c r="F257" s="59" t="str">
        <f aca="false">VLOOKUP(E257,Models!$A$2:$B$13,2,0)</f>
        <v>40-inch Full HD TV</v>
      </c>
      <c r="G257" s="9" t="n">
        <v>96</v>
      </c>
      <c r="H257" s="9" t="n">
        <v>694080</v>
      </c>
      <c r="I257" s="0" t="s">
        <v>92</v>
      </c>
    </row>
    <row r="258" customFormat="false" ht="12.8" hidden="false" customHeight="false" outlineLevel="0" collapsed="false">
      <c r="A258" s="0" t="s">
        <v>25</v>
      </c>
      <c r="B258" s="0" t="s">
        <v>19</v>
      </c>
      <c r="C258" s="0" t="s">
        <v>89</v>
      </c>
      <c r="D258" s="59" t="str">
        <f aca="false">VLOOKUP(C258,Countries!$A$2:$B$11,2,0)</f>
        <v>Morocco</v>
      </c>
      <c r="E258" s="0" t="s">
        <v>50</v>
      </c>
      <c r="F258" s="59" t="str">
        <f aca="false">VLOOKUP(E258,Models!$A$2:$B$13,2,0)</f>
        <v>50-inch 4K TV</v>
      </c>
      <c r="G258" s="9" t="n">
        <v>40</v>
      </c>
      <c r="H258" s="9" t="n">
        <v>485200</v>
      </c>
      <c r="I258" s="0" t="s">
        <v>92</v>
      </c>
    </row>
    <row r="259" customFormat="false" ht="12.8" hidden="false" customHeight="false" outlineLevel="0" collapsed="false">
      <c r="A259" s="0" t="s">
        <v>25</v>
      </c>
      <c r="B259" s="0" t="s">
        <v>19</v>
      </c>
      <c r="C259" s="0" t="s">
        <v>89</v>
      </c>
      <c r="D259" s="59" t="str">
        <f aca="false">VLOOKUP(C259,Countries!$A$2:$B$11,2,0)</f>
        <v>Morocco</v>
      </c>
      <c r="E259" s="0" t="s">
        <v>40</v>
      </c>
      <c r="F259" s="59" t="str">
        <f aca="false">VLOOKUP(E259,Models!$A$2:$B$13,2,0)</f>
        <v>65-inch 4K TV</v>
      </c>
      <c r="G259" s="9" t="n">
        <v>139</v>
      </c>
      <c r="H259" s="9" t="n">
        <v>3208120</v>
      </c>
      <c r="I259" s="0" t="s">
        <v>92</v>
      </c>
    </row>
    <row r="260" customFormat="false" ht="12.8" hidden="false" customHeight="false" outlineLevel="0" collapsed="false">
      <c r="A260" s="0" t="s">
        <v>25</v>
      </c>
      <c r="B260" s="0" t="s">
        <v>19</v>
      </c>
      <c r="C260" s="0" t="s">
        <v>89</v>
      </c>
      <c r="D260" s="59" t="str">
        <f aca="false">VLOOKUP(C260,Countries!$A$2:$B$11,2,0)</f>
        <v>Morocco</v>
      </c>
      <c r="E260" s="0" t="s">
        <v>41</v>
      </c>
      <c r="F260" s="59" t="str">
        <f aca="false">VLOOKUP(E260,Models!$A$2:$B$13,2,0)</f>
        <v>75-inch 4K TV</v>
      </c>
      <c r="G260" s="9" t="n">
        <v>78</v>
      </c>
      <c r="H260" s="9" t="n">
        <v>2836860</v>
      </c>
      <c r="I260" s="0" t="s">
        <v>92</v>
      </c>
    </row>
    <row r="261" customFormat="false" ht="12.8" hidden="false" customHeight="false" outlineLevel="0" collapsed="false">
      <c r="A261" s="0" t="s">
        <v>25</v>
      </c>
      <c r="B261" s="0" t="s">
        <v>19</v>
      </c>
      <c r="C261" s="0" t="s">
        <v>90</v>
      </c>
      <c r="D261" s="59" t="str">
        <f aca="false">VLOOKUP(C261,Countries!$A$2:$B$11,2,0)</f>
        <v>Nigeria</v>
      </c>
      <c r="E261" s="0" t="s">
        <v>43</v>
      </c>
      <c r="F261" s="59" t="str">
        <f aca="false">VLOOKUP(E261,Models!$A$2:$B$13,2,0)</f>
        <v>32-inch HD TV</v>
      </c>
      <c r="G261" s="9" t="n">
        <v>134</v>
      </c>
      <c r="H261" s="9" t="n">
        <v>609700</v>
      </c>
      <c r="I261" s="0" t="s">
        <v>92</v>
      </c>
    </row>
    <row r="262" customFormat="false" ht="12.8" hidden="false" customHeight="false" outlineLevel="0" collapsed="false">
      <c r="A262" s="0" t="s">
        <v>25</v>
      </c>
      <c r="B262" s="0" t="s">
        <v>19</v>
      </c>
      <c r="C262" s="0" t="s">
        <v>90</v>
      </c>
      <c r="D262" s="59" t="str">
        <f aca="false">VLOOKUP(C262,Countries!$A$2:$B$11,2,0)</f>
        <v>Nigeria</v>
      </c>
      <c r="E262" s="0" t="s">
        <v>45</v>
      </c>
      <c r="F262" s="59" t="str">
        <f aca="false">VLOOKUP(E262,Models!$A$2:$B$13,2,0)</f>
        <v>40-inch Full HD TV</v>
      </c>
      <c r="G262" s="9" t="n">
        <v>25</v>
      </c>
      <c r="H262" s="9" t="n">
        <v>180750</v>
      </c>
      <c r="I262" s="0" t="s">
        <v>92</v>
      </c>
    </row>
    <row r="263" customFormat="false" ht="12.8" hidden="false" customHeight="false" outlineLevel="0" collapsed="false">
      <c r="A263" s="0" t="s">
        <v>25</v>
      </c>
      <c r="B263" s="0" t="s">
        <v>19</v>
      </c>
      <c r="C263" s="0" t="s">
        <v>90</v>
      </c>
      <c r="D263" s="59" t="str">
        <f aca="false">VLOOKUP(C263,Countries!$A$2:$B$11,2,0)</f>
        <v>Nigeria</v>
      </c>
      <c r="E263" s="0" t="s">
        <v>46</v>
      </c>
      <c r="F263" s="59" t="str">
        <f aca="false">VLOOKUP(E263,Models!$A$2:$B$13,2,0)</f>
        <v>43-inch Full HD TV</v>
      </c>
      <c r="G263" s="9" t="n">
        <v>90</v>
      </c>
      <c r="H263" s="9" t="n">
        <v>724500</v>
      </c>
      <c r="I263" s="0" t="s">
        <v>92</v>
      </c>
    </row>
    <row r="264" customFormat="false" ht="12.8" hidden="false" customHeight="false" outlineLevel="0" collapsed="false">
      <c r="A264" s="0" t="s">
        <v>25</v>
      </c>
      <c r="B264" s="0" t="s">
        <v>19</v>
      </c>
      <c r="C264" s="0" t="s">
        <v>90</v>
      </c>
      <c r="D264" s="59" t="str">
        <f aca="false">VLOOKUP(C264,Countries!$A$2:$B$11,2,0)</f>
        <v>Nigeria</v>
      </c>
      <c r="E264" s="0" t="s">
        <v>41</v>
      </c>
      <c r="F264" s="59" t="str">
        <f aca="false">VLOOKUP(E264,Models!$A$2:$B$13,2,0)</f>
        <v>75-inch 4K TV</v>
      </c>
      <c r="G264" s="9" t="n">
        <v>119</v>
      </c>
      <c r="H264" s="9" t="n">
        <v>4328030</v>
      </c>
      <c r="I264" s="0" t="s">
        <v>92</v>
      </c>
    </row>
    <row r="265" customFormat="false" ht="12.8" hidden="false" customHeight="false" outlineLevel="0" collapsed="false">
      <c r="A265" s="0" t="s">
        <v>25</v>
      </c>
      <c r="B265" s="0" t="s">
        <v>19</v>
      </c>
      <c r="C265" s="0" t="s">
        <v>91</v>
      </c>
      <c r="D265" s="59" t="str">
        <f aca="false">VLOOKUP(C265,Countries!$A$2:$B$11,2,0)</f>
        <v>Saudi Arabia</v>
      </c>
      <c r="E265" s="0" t="s">
        <v>43</v>
      </c>
      <c r="F265" s="59" t="str">
        <f aca="false">VLOOKUP(E265,Models!$A$2:$B$13,2,0)</f>
        <v>32-inch HD TV</v>
      </c>
      <c r="G265" s="9" t="n">
        <v>68</v>
      </c>
      <c r="H265" s="9" t="n">
        <v>309400</v>
      </c>
      <c r="I265" s="0" t="s">
        <v>92</v>
      </c>
    </row>
    <row r="266" customFormat="false" ht="12.8" hidden="false" customHeight="false" outlineLevel="0" collapsed="false">
      <c r="A266" s="0" t="s">
        <v>25</v>
      </c>
      <c r="B266" s="0" t="s">
        <v>19</v>
      </c>
      <c r="C266" s="0" t="s">
        <v>91</v>
      </c>
      <c r="D266" s="59" t="str">
        <f aca="false">VLOOKUP(C266,Countries!$A$2:$B$11,2,0)</f>
        <v>Saudi Arabia</v>
      </c>
      <c r="E266" s="0" t="s">
        <v>45</v>
      </c>
      <c r="F266" s="59" t="str">
        <f aca="false">VLOOKUP(E266,Models!$A$2:$B$13,2,0)</f>
        <v>40-inch Full HD TV</v>
      </c>
      <c r="G266" s="9" t="n">
        <v>126</v>
      </c>
      <c r="H266" s="9" t="n">
        <v>910980</v>
      </c>
      <c r="I266" s="0" t="s">
        <v>92</v>
      </c>
    </row>
    <row r="267" customFormat="false" ht="12.8" hidden="false" customHeight="false" outlineLevel="0" collapsed="false">
      <c r="A267" s="0" t="s">
        <v>27</v>
      </c>
      <c r="B267" s="0" t="s">
        <v>19</v>
      </c>
      <c r="C267" s="0" t="s">
        <v>82</v>
      </c>
      <c r="D267" s="59" t="str">
        <f aca="false">VLOOKUP(C267,Countries!$A$2:$B$11,2,0)</f>
        <v>United Arab Emirates</v>
      </c>
      <c r="E267" s="0" t="s">
        <v>46</v>
      </c>
      <c r="F267" s="59" t="str">
        <f aca="false">VLOOKUP(E267,Models!$A$2:$B$13,2,0)</f>
        <v>43-inch Full HD TV</v>
      </c>
      <c r="G267" s="9" t="n">
        <v>99</v>
      </c>
      <c r="H267" s="9" t="n">
        <v>796950</v>
      </c>
      <c r="I267" s="0" t="s">
        <v>93</v>
      </c>
    </row>
    <row r="268" customFormat="false" ht="12.8" hidden="false" customHeight="false" outlineLevel="0" collapsed="false">
      <c r="A268" s="0" t="s">
        <v>27</v>
      </c>
      <c r="B268" s="0" t="s">
        <v>19</v>
      </c>
      <c r="C268" s="0" t="s">
        <v>82</v>
      </c>
      <c r="D268" s="59" t="str">
        <f aca="false">VLOOKUP(C268,Countries!$A$2:$B$11,2,0)</f>
        <v>United Arab Emirates</v>
      </c>
      <c r="E268" s="0" t="s">
        <v>49</v>
      </c>
      <c r="F268" s="59" t="str">
        <f aca="false">VLOOKUP(E268,Models!$A$2:$B$13,2,0)</f>
        <v>43-inch Smart TV</v>
      </c>
      <c r="G268" s="9" t="n">
        <v>42</v>
      </c>
      <c r="H268" s="9" t="n">
        <v>381780</v>
      </c>
      <c r="I268" s="0" t="s">
        <v>93</v>
      </c>
    </row>
    <row r="269" customFormat="false" ht="12.8" hidden="false" customHeight="false" outlineLevel="0" collapsed="false">
      <c r="A269" s="0" t="s">
        <v>27</v>
      </c>
      <c r="B269" s="0" t="s">
        <v>19</v>
      </c>
      <c r="C269" s="0" t="s">
        <v>82</v>
      </c>
      <c r="D269" s="59" t="str">
        <f aca="false">VLOOKUP(C269,Countries!$A$2:$B$11,2,0)</f>
        <v>United Arab Emirates</v>
      </c>
      <c r="E269" s="0" t="s">
        <v>50</v>
      </c>
      <c r="F269" s="59" t="str">
        <f aca="false">VLOOKUP(E269,Models!$A$2:$B$13,2,0)</f>
        <v>50-inch 4K TV</v>
      </c>
      <c r="G269" s="9" t="n">
        <v>46</v>
      </c>
      <c r="H269" s="9" t="n">
        <v>557980</v>
      </c>
      <c r="I269" s="0" t="s">
        <v>93</v>
      </c>
    </row>
    <row r="270" customFormat="false" ht="12.8" hidden="false" customHeight="false" outlineLevel="0" collapsed="false">
      <c r="A270" s="0" t="s">
        <v>27</v>
      </c>
      <c r="B270" s="0" t="s">
        <v>19</v>
      </c>
      <c r="C270" s="0" t="s">
        <v>82</v>
      </c>
      <c r="D270" s="59" t="str">
        <f aca="false">VLOOKUP(C270,Countries!$A$2:$B$11,2,0)</f>
        <v>United Arab Emirates</v>
      </c>
      <c r="E270" s="0" t="s">
        <v>44</v>
      </c>
      <c r="F270" s="59" t="str">
        <f aca="false">VLOOKUP(E270,Models!$A$2:$B$13,2,0)</f>
        <v>55-inch 4K TV</v>
      </c>
      <c r="G270" s="9" t="n">
        <v>139</v>
      </c>
      <c r="H270" s="9" t="n">
        <v>1993260</v>
      </c>
      <c r="I270" s="0" t="s">
        <v>93</v>
      </c>
    </row>
    <row r="271" customFormat="false" ht="12.8" hidden="false" customHeight="false" outlineLevel="0" collapsed="false">
      <c r="A271" s="0" t="s">
        <v>27</v>
      </c>
      <c r="B271" s="0" t="s">
        <v>19</v>
      </c>
      <c r="C271" s="0" t="s">
        <v>82</v>
      </c>
      <c r="D271" s="59" t="str">
        <f aca="false">VLOOKUP(C271,Countries!$A$2:$B$11,2,0)</f>
        <v>United Arab Emirates</v>
      </c>
      <c r="E271" s="0" t="s">
        <v>48</v>
      </c>
      <c r="F271" s="59" t="str">
        <f aca="false">VLOOKUP(E271,Models!$A$2:$B$13,2,0)</f>
        <v>55-inch QLED TV</v>
      </c>
      <c r="G271" s="9" t="n">
        <v>133</v>
      </c>
      <c r="H271" s="9" t="n">
        <v>2417940</v>
      </c>
      <c r="I271" s="0" t="s">
        <v>93</v>
      </c>
    </row>
    <row r="272" customFormat="false" ht="12.8" hidden="false" customHeight="false" outlineLevel="0" collapsed="false">
      <c r="A272" s="0" t="s">
        <v>27</v>
      </c>
      <c r="B272" s="0" t="s">
        <v>19</v>
      </c>
      <c r="C272" s="0" t="s">
        <v>82</v>
      </c>
      <c r="D272" s="59" t="str">
        <f aca="false">VLOOKUP(C272,Countries!$A$2:$B$11,2,0)</f>
        <v>United Arab Emirates</v>
      </c>
      <c r="E272" s="0" t="s">
        <v>42</v>
      </c>
      <c r="F272" s="59" t="str">
        <f aca="false">VLOOKUP(E272,Models!$A$2:$B$13,2,0)</f>
        <v>65-inch QLED TV</v>
      </c>
      <c r="G272" s="9" t="n">
        <v>135</v>
      </c>
      <c r="H272" s="9" t="n">
        <v>3855600</v>
      </c>
      <c r="I272" s="0" t="s">
        <v>93</v>
      </c>
    </row>
    <row r="273" customFormat="false" ht="12.8" hidden="false" customHeight="false" outlineLevel="0" collapsed="false">
      <c r="A273" s="0" t="s">
        <v>27</v>
      </c>
      <c r="B273" s="0" t="s">
        <v>19</v>
      </c>
      <c r="C273" s="0" t="s">
        <v>84</v>
      </c>
      <c r="D273" s="59" t="str">
        <f aca="false">VLOOKUP(C273,Countries!$A$2:$B$11,2,0)</f>
        <v>Iraq</v>
      </c>
      <c r="E273" s="0" t="s">
        <v>43</v>
      </c>
      <c r="F273" s="59" t="str">
        <f aca="false">VLOOKUP(E273,Models!$A$2:$B$13,2,0)</f>
        <v>32-inch HD TV</v>
      </c>
      <c r="G273" s="9" t="n">
        <v>139</v>
      </c>
      <c r="H273" s="9" t="n">
        <v>632450</v>
      </c>
      <c r="I273" s="0" t="s">
        <v>93</v>
      </c>
    </row>
    <row r="274" customFormat="false" ht="12.8" hidden="false" customHeight="false" outlineLevel="0" collapsed="false">
      <c r="A274" s="0" t="s">
        <v>27</v>
      </c>
      <c r="B274" s="0" t="s">
        <v>19</v>
      </c>
      <c r="C274" s="0" t="s">
        <v>84</v>
      </c>
      <c r="D274" s="59" t="str">
        <f aca="false">VLOOKUP(C274,Countries!$A$2:$B$11,2,0)</f>
        <v>Iraq</v>
      </c>
      <c r="E274" s="0" t="s">
        <v>50</v>
      </c>
      <c r="F274" s="59" t="str">
        <f aca="false">VLOOKUP(E274,Models!$A$2:$B$13,2,0)</f>
        <v>50-inch 4K TV</v>
      </c>
      <c r="G274" s="9" t="n">
        <v>42</v>
      </c>
      <c r="H274" s="9" t="n">
        <v>509460</v>
      </c>
      <c r="I274" s="0" t="s">
        <v>93</v>
      </c>
    </row>
    <row r="275" customFormat="false" ht="12.8" hidden="false" customHeight="false" outlineLevel="0" collapsed="false">
      <c r="A275" s="0" t="s">
        <v>27</v>
      </c>
      <c r="B275" s="0" t="s">
        <v>19</v>
      </c>
      <c r="C275" s="0" t="s">
        <v>84</v>
      </c>
      <c r="D275" s="59" t="str">
        <f aca="false">VLOOKUP(C275,Countries!$A$2:$B$11,2,0)</f>
        <v>Iraq</v>
      </c>
      <c r="E275" s="0" t="s">
        <v>44</v>
      </c>
      <c r="F275" s="59" t="str">
        <f aca="false">VLOOKUP(E275,Models!$A$2:$B$13,2,0)</f>
        <v>55-inch 4K TV</v>
      </c>
      <c r="G275" s="9" t="n">
        <v>120</v>
      </c>
      <c r="H275" s="9" t="n">
        <v>1720800</v>
      </c>
      <c r="I275" s="0" t="s">
        <v>93</v>
      </c>
    </row>
    <row r="276" customFormat="false" ht="12.8" hidden="false" customHeight="false" outlineLevel="0" collapsed="false">
      <c r="A276" s="0" t="s">
        <v>27</v>
      </c>
      <c r="B276" s="0" t="s">
        <v>19</v>
      </c>
      <c r="C276" s="0" t="s">
        <v>84</v>
      </c>
      <c r="D276" s="59" t="str">
        <f aca="false">VLOOKUP(C276,Countries!$A$2:$B$11,2,0)</f>
        <v>Iraq</v>
      </c>
      <c r="E276" s="0" t="s">
        <v>40</v>
      </c>
      <c r="F276" s="59" t="str">
        <f aca="false">VLOOKUP(E276,Models!$A$2:$B$13,2,0)</f>
        <v>65-inch 4K TV</v>
      </c>
      <c r="G276" s="9" t="n">
        <v>94</v>
      </c>
      <c r="H276" s="9" t="n">
        <v>2169520</v>
      </c>
      <c r="I276" s="0" t="s">
        <v>93</v>
      </c>
    </row>
    <row r="277" customFormat="false" ht="12.8" hidden="false" customHeight="false" outlineLevel="0" collapsed="false">
      <c r="A277" s="0" t="s">
        <v>27</v>
      </c>
      <c r="B277" s="0" t="s">
        <v>19</v>
      </c>
      <c r="C277" s="0" t="s">
        <v>84</v>
      </c>
      <c r="D277" s="59" t="str">
        <f aca="false">VLOOKUP(C277,Countries!$A$2:$B$11,2,0)</f>
        <v>Iraq</v>
      </c>
      <c r="E277" s="0" t="s">
        <v>42</v>
      </c>
      <c r="F277" s="59" t="str">
        <f aca="false">VLOOKUP(E277,Models!$A$2:$B$13,2,0)</f>
        <v>65-inch QLED TV</v>
      </c>
      <c r="G277" s="9" t="n">
        <v>124</v>
      </c>
      <c r="H277" s="9" t="n">
        <v>3541440</v>
      </c>
      <c r="I277" s="0" t="s">
        <v>93</v>
      </c>
    </row>
    <row r="278" customFormat="false" ht="12.8" hidden="false" customHeight="false" outlineLevel="0" collapsed="false">
      <c r="A278" s="0" t="s">
        <v>27</v>
      </c>
      <c r="B278" s="0" t="s">
        <v>19</v>
      </c>
      <c r="C278" s="0" t="s">
        <v>84</v>
      </c>
      <c r="D278" s="59" t="str">
        <f aca="false">VLOOKUP(C278,Countries!$A$2:$B$11,2,0)</f>
        <v>Iraq</v>
      </c>
      <c r="E278" s="0" t="s">
        <v>41</v>
      </c>
      <c r="F278" s="59" t="str">
        <f aca="false">VLOOKUP(E278,Models!$A$2:$B$13,2,0)</f>
        <v>75-inch 4K TV</v>
      </c>
      <c r="G278" s="9" t="n">
        <v>98</v>
      </c>
      <c r="H278" s="9" t="n">
        <v>3564260</v>
      </c>
      <c r="I278" s="0" t="s">
        <v>93</v>
      </c>
    </row>
    <row r="279" customFormat="false" ht="12.8" hidden="false" customHeight="false" outlineLevel="0" collapsed="false">
      <c r="A279" s="0" t="s">
        <v>27</v>
      </c>
      <c r="B279" s="0" t="s">
        <v>19</v>
      </c>
      <c r="C279" s="0" t="s">
        <v>85</v>
      </c>
      <c r="D279" s="59" t="str">
        <f aca="false">VLOOKUP(C279,Countries!$A$2:$B$11,2,0)</f>
        <v>Jordan</v>
      </c>
      <c r="E279" s="0" t="s">
        <v>43</v>
      </c>
      <c r="F279" s="59" t="str">
        <f aca="false">VLOOKUP(E279,Models!$A$2:$B$13,2,0)</f>
        <v>32-inch HD TV</v>
      </c>
      <c r="G279" s="9" t="n">
        <v>67</v>
      </c>
      <c r="H279" s="9" t="n">
        <v>304850</v>
      </c>
      <c r="I279" s="0" t="s">
        <v>93</v>
      </c>
    </row>
    <row r="280" customFormat="false" ht="12.8" hidden="false" customHeight="false" outlineLevel="0" collapsed="false">
      <c r="A280" s="0" t="s">
        <v>27</v>
      </c>
      <c r="B280" s="0" t="s">
        <v>19</v>
      </c>
      <c r="C280" s="0" t="s">
        <v>85</v>
      </c>
      <c r="D280" s="59" t="str">
        <f aca="false">VLOOKUP(C280,Countries!$A$2:$B$11,2,0)</f>
        <v>Jordan</v>
      </c>
      <c r="E280" s="0" t="s">
        <v>45</v>
      </c>
      <c r="F280" s="59" t="str">
        <f aca="false">VLOOKUP(E280,Models!$A$2:$B$13,2,0)</f>
        <v>40-inch Full HD TV</v>
      </c>
      <c r="G280" s="9" t="n">
        <v>109</v>
      </c>
      <c r="H280" s="9" t="n">
        <v>788070</v>
      </c>
      <c r="I280" s="0" t="s">
        <v>93</v>
      </c>
    </row>
    <row r="281" customFormat="false" ht="12.8" hidden="false" customHeight="false" outlineLevel="0" collapsed="false">
      <c r="A281" s="0" t="s">
        <v>27</v>
      </c>
      <c r="B281" s="0" t="s">
        <v>19</v>
      </c>
      <c r="C281" s="0" t="s">
        <v>85</v>
      </c>
      <c r="D281" s="59" t="str">
        <f aca="false">VLOOKUP(C281,Countries!$A$2:$B$11,2,0)</f>
        <v>Jordan</v>
      </c>
      <c r="E281" s="0" t="s">
        <v>46</v>
      </c>
      <c r="F281" s="59" t="str">
        <f aca="false">VLOOKUP(E281,Models!$A$2:$B$13,2,0)</f>
        <v>43-inch Full HD TV</v>
      </c>
      <c r="G281" s="9" t="n">
        <v>85</v>
      </c>
      <c r="H281" s="9" t="n">
        <v>684250</v>
      </c>
      <c r="I281" s="0" t="s">
        <v>93</v>
      </c>
    </row>
    <row r="282" customFormat="false" ht="12.8" hidden="false" customHeight="false" outlineLevel="0" collapsed="false">
      <c r="A282" s="0" t="s">
        <v>27</v>
      </c>
      <c r="B282" s="0" t="s">
        <v>19</v>
      </c>
      <c r="C282" s="0" t="s">
        <v>85</v>
      </c>
      <c r="D282" s="59" t="str">
        <f aca="false">VLOOKUP(C282,Countries!$A$2:$B$11,2,0)</f>
        <v>Jordan</v>
      </c>
      <c r="E282" s="0" t="s">
        <v>50</v>
      </c>
      <c r="F282" s="59" t="str">
        <f aca="false">VLOOKUP(E282,Models!$A$2:$B$13,2,0)</f>
        <v>50-inch 4K TV</v>
      </c>
      <c r="G282" s="9" t="n">
        <v>116</v>
      </c>
      <c r="H282" s="9" t="n">
        <v>1407080</v>
      </c>
      <c r="I282" s="0" t="s">
        <v>93</v>
      </c>
    </row>
    <row r="283" customFormat="false" ht="12.8" hidden="false" customHeight="false" outlineLevel="0" collapsed="false">
      <c r="A283" s="0" t="s">
        <v>27</v>
      </c>
      <c r="B283" s="0" t="s">
        <v>19</v>
      </c>
      <c r="C283" s="0" t="s">
        <v>85</v>
      </c>
      <c r="D283" s="59" t="str">
        <f aca="false">VLOOKUP(C283,Countries!$A$2:$B$11,2,0)</f>
        <v>Jordan</v>
      </c>
      <c r="E283" s="0" t="s">
        <v>44</v>
      </c>
      <c r="F283" s="59" t="str">
        <f aca="false">VLOOKUP(E283,Models!$A$2:$B$13,2,0)</f>
        <v>55-inch 4K TV</v>
      </c>
      <c r="G283" s="9" t="n">
        <v>79</v>
      </c>
      <c r="H283" s="9" t="n">
        <v>1132860</v>
      </c>
      <c r="I283" s="0" t="s">
        <v>93</v>
      </c>
    </row>
    <row r="284" customFormat="false" ht="12.8" hidden="false" customHeight="false" outlineLevel="0" collapsed="false">
      <c r="A284" s="0" t="s">
        <v>27</v>
      </c>
      <c r="B284" s="0" t="s">
        <v>19</v>
      </c>
      <c r="C284" s="0" t="s">
        <v>85</v>
      </c>
      <c r="D284" s="59" t="str">
        <f aca="false">VLOOKUP(C284,Countries!$A$2:$B$11,2,0)</f>
        <v>Jordan</v>
      </c>
      <c r="E284" s="0" t="s">
        <v>40</v>
      </c>
      <c r="F284" s="59" t="str">
        <f aca="false">VLOOKUP(E284,Models!$A$2:$B$13,2,0)</f>
        <v>65-inch 4K TV</v>
      </c>
      <c r="G284" s="9" t="n">
        <v>90</v>
      </c>
      <c r="H284" s="9" t="n">
        <v>2077200</v>
      </c>
      <c r="I284" s="0" t="s">
        <v>93</v>
      </c>
    </row>
    <row r="285" customFormat="false" ht="12.8" hidden="false" customHeight="false" outlineLevel="0" collapsed="false">
      <c r="A285" s="0" t="s">
        <v>27</v>
      </c>
      <c r="B285" s="0" t="s">
        <v>19</v>
      </c>
      <c r="C285" s="0" t="s">
        <v>86</v>
      </c>
      <c r="D285" s="59" t="str">
        <f aca="false">VLOOKUP(C285,Countries!$A$2:$B$11,2,0)</f>
        <v>Kenya</v>
      </c>
      <c r="E285" s="0" t="s">
        <v>51</v>
      </c>
      <c r="F285" s="59" t="str">
        <f aca="false">VLOOKUP(E285,Models!$A$2:$B$13,2,0)</f>
        <v>24-inch HD TV</v>
      </c>
      <c r="G285" s="9" t="n">
        <v>62</v>
      </c>
      <c r="H285" s="9" t="n">
        <v>209560</v>
      </c>
      <c r="I285" s="0" t="s">
        <v>93</v>
      </c>
    </row>
    <row r="286" customFormat="false" ht="12.8" hidden="false" customHeight="false" outlineLevel="0" collapsed="false">
      <c r="A286" s="0" t="s">
        <v>27</v>
      </c>
      <c r="B286" s="0" t="s">
        <v>19</v>
      </c>
      <c r="C286" s="0" t="s">
        <v>86</v>
      </c>
      <c r="D286" s="59" t="str">
        <f aca="false">VLOOKUP(C286,Countries!$A$2:$B$11,2,0)</f>
        <v>Kenya</v>
      </c>
      <c r="E286" s="0" t="s">
        <v>47</v>
      </c>
      <c r="F286" s="59" t="str">
        <f aca="false">VLOOKUP(E286,Models!$A$2:$B$13,2,0)</f>
        <v>32-inch Smart TV</v>
      </c>
      <c r="G286" s="9" t="n">
        <v>100</v>
      </c>
      <c r="H286" s="9" t="n">
        <v>536000</v>
      </c>
      <c r="I286" s="0" t="s">
        <v>93</v>
      </c>
    </row>
    <row r="287" customFormat="false" ht="12.8" hidden="false" customHeight="false" outlineLevel="0" collapsed="false">
      <c r="A287" s="0" t="s">
        <v>27</v>
      </c>
      <c r="B287" s="0" t="s">
        <v>19</v>
      </c>
      <c r="C287" s="0" t="s">
        <v>86</v>
      </c>
      <c r="D287" s="59" t="str">
        <f aca="false">VLOOKUP(C287,Countries!$A$2:$B$11,2,0)</f>
        <v>Kenya</v>
      </c>
      <c r="E287" s="0" t="s">
        <v>45</v>
      </c>
      <c r="F287" s="59" t="str">
        <f aca="false">VLOOKUP(E287,Models!$A$2:$B$13,2,0)</f>
        <v>40-inch Full HD TV</v>
      </c>
      <c r="G287" s="9" t="n">
        <v>133</v>
      </c>
      <c r="H287" s="9" t="n">
        <v>961590</v>
      </c>
      <c r="I287" s="0" t="s">
        <v>93</v>
      </c>
    </row>
    <row r="288" customFormat="false" ht="12.8" hidden="false" customHeight="false" outlineLevel="0" collapsed="false">
      <c r="A288" s="0" t="s">
        <v>27</v>
      </c>
      <c r="B288" s="0" t="s">
        <v>19</v>
      </c>
      <c r="C288" s="0" t="s">
        <v>86</v>
      </c>
      <c r="D288" s="59" t="str">
        <f aca="false">VLOOKUP(C288,Countries!$A$2:$B$11,2,0)</f>
        <v>Kenya</v>
      </c>
      <c r="E288" s="0" t="s">
        <v>41</v>
      </c>
      <c r="F288" s="59" t="str">
        <f aca="false">VLOOKUP(E288,Models!$A$2:$B$13,2,0)</f>
        <v>75-inch 4K TV</v>
      </c>
      <c r="G288" s="9" t="n">
        <v>46</v>
      </c>
      <c r="H288" s="9" t="n">
        <v>1673020</v>
      </c>
      <c r="I288" s="0" t="s">
        <v>93</v>
      </c>
    </row>
    <row r="289" customFormat="false" ht="12.8" hidden="false" customHeight="false" outlineLevel="0" collapsed="false">
      <c r="A289" s="0" t="s">
        <v>27</v>
      </c>
      <c r="B289" s="0" t="s">
        <v>19</v>
      </c>
      <c r="C289" s="0" t="s">
        <v>87</v>
      </c>
      <c r="D289" s="59" t="str">
        <f aca="false">VLOOKUP(C289,Countries!$A$2:$B$11,2,0)</f>
        <v>Kuwait</v>
      </c>
      <c r="E289" s="0" t="s">
        <v>51</v>
      </c>
      <c r="F289" s="59" t="str">
        <f aca="false">VLOOKUP(E289,Models!$A$2:$B$13,2,0)</f>
        <v>24-inch HD TV</v>
      </c>
      <c r="G289" s="9" t="n">
        <v>80</v>
      </c>
      <c r="H289" s="9" t="n">
        <v>270400</v>
      </c>
      <c r="I289" s="0" t="s">
        <v>93</v>
      </c>
    </row>
    <row r="290" customFormat="false" ht="12.8" hidden="false" customHeight="false" outlineLevel="0" collapsed="false">
      <c r="A290" s="0" t="s">
        <v>27</v>
      </c>
      <c r="B290" s="0" t="s">
        <v>19</v>
      </c>
      <c r="C290" s="0" t="s">
        <v>87</v>
      </c>
      <c r="D290" s="59" t="str">
        <f aca="false">VLOOKUP(C290,Countries!$A$2:$B$11,2,0)</f>
        <v>Kuwait</v>
      </c>
      <c r="E290" s="0" t="s">
        <v>47</v>
      </c>
      <c r="F290" s="59" t="str">
        <f aca="false">VLOOKUP(E290,Models!$A$2:$B$13,2,0)</f>
        <v>32-inch Smart TV</v>
      </c>
      <c r="G290" s="9" t="n">
        <v>48</v>
      </c>
      <c r="H290" s="9" t="n">
        <v>257280</v>
      </c>
      <c r="I290" s="0" t="s">
        <v>93</v>
      </c>
    </row>
    <row r="291" customFormat="false" ht="12.8" hidden="false" customHeight="false" outlineLevel="0" collapsed="false">
      <c r="A291" s="0" t="s">
        <v>27</v>
      </c>
      <c r="B291" s="0" t="s">
        <v>19</v>
      </c>
      <c r="C291" s="0" t="s">
        <v>87</v>
      </c>
      <c r="D291" s="59" t="str">
        <f aca="false">VLOOKUP(C291,Countries!$A$2:$B$11,2,0)</f>
        <v>Kuwait</v>
      </c>
      <c r="E291" s="0" t="s">
        <v>45</v>
      </c>
      <c r="F291" s="59" t="str">
        <f aca="false">VLOOKUP(E291,Models!$A$2:$B$13,2,0)</f>
        <v>40-inch Full HD TV</v>
      </c>
      <c r="G291" s="9" t="n">
        <v>87</v>
      </c>
      <c r="H291" s="9" t="n">
        <v>629010</v>
      </c>
      <c r="I291" s="0" t="s">
        <v>93</v>
      </c>
    </row>
    <row r="292" customFormat="false" ht="12.8" hidden="false" customHeight="false" outlineLevel="0" collapsed="false">
      <c r="A292" s="0" t="s">
        <v>27</v>
      </c>
      <c r="B292" s="0" t="s">
        <v>19</v>
      </c>
      <c r="C292" s="0" t="s">
        <v>87</v>
      </c>
      <c r="D292" s="59" t="str">
        <f aca="false">VLOOKUP(C292,Countries!$A$2:$B$11,2,0)</f>
        <v>Kuwait</v>
      </c>
      <c r="E292" s="0" t="s">
        <v>44</v>
      </c>
      <c r="F292" s="59" t="str">
        <f aca="false">VLOOKUP(E292,Models!$A$2:$B$13,2,0)</f>
        <v>55-inch 4K TV</v>
      </c>
      <c r="G292" s="9" t="n">
        <v>103</v>
      </c>
      <c r="H292" s="9" t="n">
        <v>1477020</v>
      </c>
      <c r="I292" s="0" t="s">
        <v>93</v>
      </c>
    </row>
    <row r="293" customFormat="false" ht="12.8" hidden="false" customHeight="false" outlineLevel="0" collapsed="false">
      <c r="A293" s="0" t="s">
        <v>27</v>
      </c>
      <c r="B293" s="0" t="s">
        <v>19</v>
      </c>
      <c r="C293" s="0" t="s">
        <v>87</v>
      </c>
      <c r="D293" s="59" t="str">
        <f aca="false">VLOOKUP(C293,Countries!$A$2:$B$11,2,0)</f>
        <v>Kuwait</v>
      </c>
      <c r="E293" s="0" t="s">
        <v>48</v>
      </c>
      <c r="F293" s="59" t="str">
        <f aca="false">VLOOKUP(E293,Models!$A$2:$B$13,2,0)</f>
        <v>55-inch QLED TV</v>
      </c>
      <c r="G293" s="9" t="n">
        <v>130</v>
      </c>
      <c r="H293" s="9" t="n">
        <v>2363400</v>
      </c>
      <c r="I293" s="0" t="s">
        <v>93</v>
      </c>
    </row>
    <row r="294" customFormat="false" ht="12.8" hidden="false" customHeight="false" outlineLevel="0" collapsed="false">
      <c r="A294" s="0" t="s">
        <v>27</v>
      </c>
      <c r="B294" s="0" t="s">
        <v>19</v>
      </c>
      <c r="C294" s="0" t="s">
        <v>87</v>
      </c>
      <c r="D294" s="59" t="str">
        <f aca="false">VLOOKUP(C294,Countries!$A$2:$B$11,2,0)</f>
        <v>Kuwait</v>
      </c>
      <c r="E294" s="0" t="s">
        <v>40</v>
      </c>
      <c r="F294" s="59" t="str">
        <f aca="false">VLOOKUP(E294,Models!$A$2:$B$13,2,0)</f>
        <v>65-inch 4K TV</v>
      </c>
      <c r="G294" s="9" t="n">
        <v>53</v>
      </c>
      <c r="H294" s="9" t="n">
        <v>1223240</v>
      </c>
      <c r="I294" s="0" t="s">
        <v>93</v>
      </c>
    </row>
    <row r="295" customFormat="false" ht="12.8" hidden="false" customHeight="false" outlineLevel="0" collapsed="false">
      <c r="A295" s="0" t="s">
        <v>27</v>
      </c>
      <c r="B295" s="0" t="s">
        <v>19</v>
      </c>
      <c r="C295" s="0" t="s">
        <v>87</v>
      </c>
      <c r="D295" s="59" t="str">
        <f aca="false">VLOOKUP(C295,Countries!$A$2:$B$11,2,0)</f>
        <v>Kuwait</v>
      </c>
      <c r="E295" s="0" t="s">
        <v>41</v>
      </c>
      <c r="F295" s="59" t="str">
        <f aca="false">VLOOKUP(E295,Models!$A$2:$B$13,2,0)</f>
        <v>75-inch 4K TV</v>
      </c>
      <c r="G295" s="9" t="n">
        <v>103</v>
      </c>
      <c r="H295" s="9" t="n">
        <v>3746110</v>
      </c>
      <c r="I295" s="0" t="s">
        <v>93</v>
      </c>
    </row>
    <row r="296" customFormat="false" ht="12.8" hidden="false" customHeight="false" outlineLevel="0" collapsed="false">
      <c r="A296" s="0" t="s">
        <v>27</v>
      </c>
      <c r="B296" s="0" t="s">
        <v>19</v>
      </c>
      <c r="C296" s="0" t="s">
        <v>88</v>
      </c>
      <c r="D296" s="59" t="str">
        <f aca="false">VLOOKUP(C296,Countries!$A$2:$B$11,2,0)</f>
        <v>Libya</v>
      </c>
      <c r="E296" s="0" t="s">
        <v>49</v>
      </c>
      <c r="F296" s="59" t="str">
        <f aca="false">VLOOKUP(E296,Models!$A$2:$B$13,2,0)</f>
        <v>43-inch Smart TV</v>
      </c>
      <c r="G296" s="9" t="n">
        <v>116</v>
      </c>
      <c r="H296" s="9" t="n">
        <v>1054440</v>
      </c>
      <c r="I296" s="0" t="s">
        <v>93</v>
      </c>
    </row>
    <row r="297" customFormat="false" ht="12.8" hidden="false" customHeight="false" outlineLevel="0" collapsed="false">
      <c r="A297" s="0" t="s">
        <v>27</v>
      </c>
      <c r="B297" s="0" t="s">
        <v>19</v>
      </c>
      <c r="C297" s="0" t="s">
        <v>88</v>
      </c>
      <c r="D297" s="59" t="str">
        <f aca="false">VLOOKUP(C297,Countries!$A$2:$B$11,2,0)</f>
        <v>Libya</v>
      </c>
      <c r="E297" s="0" t="s">
        <v>50</v>
      </c>
      <c r="F297" s="59" t="str">
        <f aca="false">VLOOKUP(E297,Models!$A$2:$B$13,2,0)</f>
        <v>50-inch 4K TV</v>
      </c>
      <c r="G297" s="9" t="n">
        <v>80</v>
      </c>
      <c r="H297" s="9" t="n">
        <v>970400</v>
      </c>
      <c r="I297" s="0" t="s">
        <v>93</v>
      </c>
    </row>
    <row r="298" customFormat="false" ht="12.8" hidden="false" customHeight="false" outlineLevel="0" collapsed="false">
      <c r="A298" s="0" t="s">
        <v>27</v>
      </c>
      <c r="B298" s="0" t="s">
        <v>19</v>
      </c>
      <c r="C298" s="0" t="s">
        <v>88</v>
      </c>
      <c r="D298" s="59" t="str">
        <f aca="false">VLOOKUP(C298,Countries!$A$2:$B$11,2,0)</f>
        <v>Libya</v>
      </c>
      <c r="E298" s="0" t="s">
        <v>42</v>
      </c>
      <c r="F298" s="59" t="str">
        <f aca="false">VLOOKUP(E298,Models!$A$2:$B$13,2,0)</f>
        <v>65-inch QLED TV</v>
      </c>
      <c r="G298" s="9" t="n">
        <v>118</v>
      </c>
      <c r="H298" s="9" t="n">
        <v>3370080</v>
      </c>
      <c r="I298" s="0" t="s">
        <v>93</v>
      </c>
    </row>
    <row r="299" customFormat="false" ht="12.8" hidden="false" customHeight="false" outlineLevel="0" collapsed="false">
      <c r="A299" s="0" t="s">
        <v>27</v>
      </c>
      <c r="B299" s="0" t="s">
        <v>19</v>
      </c>
      <c r="C299" s="0" t="s">
        <v>88</v>
      </c>
      <c r="D299" s="59" t="str">
        <f aca="false">VLOOKUP(C299,Countries!$A$2:$B$11,2,0)</f>
        <v>Libya</v>
      </c>
      <c r="E299" s="0" t="s">
        <v>41</v>
      </c>
      <c r="F299" s="59" t="str">
        <f aca="false">VLOOKUP(E299,Models!$A$2:$B$13,2,0)</f>
        <v>75-inch 4K TV</v>
      </c>
      <c r="G299" s="9" t="n">
        <v>44</v>
      </c>
      <c r="H299" s="9" t="n">
        <v>1600280</v>
      </c>
      <c r="I299" s="0" t="s">
        <v>93</v>
      </c>
    </row>
    <row r="300" customFormat="false" ht="12.8" hidden="false" customHeight="false" outlineLevel="0" collapsed="false">
      <c r="A300" s="0" t="s">
        <v>27</v>
      </c>
      <c r="B300" s="0" t="s">
        <v>19</v>
      </c>
      <c r="C300" s="0" t="s">
        <v>89</v>
      </c>
      <c r="D300" s="59" t="str">
        <f aca="false">VLOOKUP(C300,Countries!$A$2:$B$11,2,0)</f>
        <v>Morocco</v>
      </c>
      <c r="E300" s="0" t="s">
        <v>51</v>
      </c>
      <c r="F300" s="59" t="str">
        <f aca="false">VLOOKUP(E300,Models!$A$2:$B$13,2,0)</f>
        <v>24-inch HD TV</v>
      </c>
      <c r="G300" s="9" t="n">
        <v>113</v>
      </c>
      <c r="H300" s="9" t="n">
        <v>381940</v>
      </c>
      <c r="I300" s="0" t="s">
        <v>93</v>
      </c>
    </row>
    <row r="301" customFormat="false" ht="12.8" hidden="false" customHeight="false" outlineLevel="0" collapsed="false">
      <c r="A301" s="0" t="s">
        <v>27</v>
      </c>
      <c r="B301" s="0" t="s">
        <v>19</v>
      </c>
      <c r="C301" s="0" t="s">
        <v>89</v>
      </c>
      <c r="D301" s="59" t="str">
        <f aca="false">VLOOKUP(C301,Countries!$A$2:$B$11,2,0)</f>
        <v>Morocco</v>
      </c>
      <c r="E301" s="0" t="s">
        <v>43</v>
      </c>
      <c r="F301" s="59" t="str">
        <f aca="false">VLOOKUP(E301,Models!$A$2:$B$13,2,0)</f>
        <v>32-inch HD TV</v>
      </c>
      <c r="G301" s="9" t="n">
        <v>105</v>
      </c>
      <c r="H301" s="9" t="n">
        <v>477750</v>
      </c>
      <c r="I301" s="0" t="s">
        <v>93</v>
      </c>
    </row>
    <row r="302" customFormat="false" ht="12.8" hidden="false" customHeight="false" outlineLevel="0" collapsed="false">
      <c r="A302" s="0" t="s">
        <v>27</v>
      </c>
      <c r="B302" s="0" t="s">
        <v>19</v>
      </c>
      <c r="C302" s="0" t="s">
        <v>89</v>
      </c>
      <c r="D302" s="59" t="str">
        <f aca="false">VLOOKUP(C302,Countries!$A$2:$B$11,2,0)</f>
        <v>Morocco</v>
      </c>
      <c r="E302" s="0" t="s">
        <v>46</v>
      </c>
      <c r="F302" s="59" t="str">
        <f aca="false">VLOOKUP(E302,Models!$A$2:$B$13,2,0)</f>
        <v>43-inch Full HD TV</v>
      </c>
      <c r="G302" s="9" t="n">
        <v>41</v>
      </c>
      <c r="H302" s="9" t="n">
        <v>330050</v>
      </c>
      <c r="I302" s="0" t="s">
        <v>93</v>
      </c>
    </row>
    <row r="303" customFormat="false" ht="12.8" hidden="false" customHeight="false" outlineLevel="0" collapsed="false">
      <c r="A303" s="0" t="s">
        <v>27</v>
      </c>
      <c r="B303" s="0" t="s">
        <v>19</v>
      </c>
      <c r="C303" s="0" t="s">
        <v>90</v>
      </c>
      <c r="D303" s="59" t="str">
        <f aca="false">VLOOKUP(C303,Countries!$A$2:$B$11,2,0)</f>
        <v>Nigeria</v>
      </c>
      <c r="E303" s="0" t="s">
        <v>43</v>
      </c>
      <c r="F303" s="59" t="str">
        <f aca="false">VLOOKUP(E303,Models!$A$2:$B$13,2,0)</f>
        <v>32-inch HD TV</v>
      </c>
      <c r="G303" s="9" t="n">
        <v>28</v>
      </c>
      <c r="H303" s="9" t="n">
        <v>127400</v>
      </c>
      <c r="I303" s="0" t="s">
        <v>93</v>
      </c>
    </row>
    <row r="304" customFormat="false" ht="12.8" hidden="false" customHeight="false" outlineLevel="0" collapsed="false">
      <c r="A304" s="0" t="s">
        <v>27</v>
      </c>
      <c r="B304" s="0" t="s">
        <v>19</v>
      </c>
      <c r="C304" s="0" t="s">
        <v>90</v>
      </c>
      <c r="D304" s="59" t="str">
        <f aca="false">VLOOKUP(C304,Countries!$A$2:$B$11,2,0)</f>
        <v>Nigeria</v>
      </c>
      <c r="E304" s="0" t="s">
        <v>46</v>
      </c>
      <c r="F304" s="59" t="str">
        <f aca="false">VLOOKUP(E304,Models!$A$2:$B$13,2,0)</f>
        <v>43-inch Full HD TV</v>
      </c>
      <c r="G304" s="9" t="n">
        <v>93</v>
      </c>
      <c r="H304" s="9" t="n">
        <v>748650</v>
      </c>
      <c r="I304" s="0" t="s">
        <v>93</v>
      </c>
    </row>
    <row r="305" customFormat="false" ht="12.8" hidden="false" customHeight="false" outlineLevel="0" collapsed="false">
      <c r="A305" s="0" t="s">
        <v>27</v>
      </c>
      <c r="B305" s="0" t="s">
        <v>19</v>
      </c>
      <c r="C305" s="0" t="s">
        <v>90</v>
      </c>
      <c r="D305" s="59" t="str">
        <f aca="false">VLOOKUP(C305,Countries!$A$2:$B$11,2,0)</f>
        <v>Nigeria</v>
      </c>
      <c r="E305" s="0" t="s">
        <v>50</v>
      </c>
      <c r="F305" s="59" t="str">
        <f aca="false">VLOOKUP(E305,Models!$A$2:$B$13,2,0)</f>
        <v>50-inch 4K TV</v>
      </c>
      <c r="G305" s="9" t="n">
        <v>86</v>
      </c>
      <c r="H305" s="9" t="n">
        <v>1043180</v>
      </c>
      <c r="I305" s="0" t="s">
        <v>93</v>
      </c>
    </row>
    <row r="306" customFormat="false" ht="12.8" hidden="false" customHeight="false" outlineLevel="0" collapsed="false">
      <c r="A306" s="0" t="s">
        <v>27</v>
      </c>
      <c r="B306" s="0" t="s">
        <v>19</v>
      </c>
      <c r="C306" s="0" t="s">
        <v>90</v>
      </c>
      <c r="D306" s="59" t="str">
        <f aca="false">VLOOKUP(C306,Countries!$A$2:$B$11,2,0)</f>
        <v>Nigeria</v>
      </c>
      <c r="E306" s="0" t="s">
        <v>48</v>
      </c>
      <c r="F306" s="59" t="str">
        <f aca="false">VLOOKUP(E306,Models!$A$2:$B$13,2,0)</f>
        <v>55-inch QLED TV</v>
      </c>
      <c r="G306" s="9" t="n">
        <v>100</v>
      </c>
      <c r="H306" s="9" t="n">
        <v>1818000</v>
      </c>
      <c r="I306" s="0" t="s">
        <v>93</v>
      </c>
    </row>
    <row r="307" customFormat="false" ht="12.8" hidden="false" customHeight="false" outlineLevel="0" collapsed="false">
      <c r="A307" s="0" t="s">
        <v>27</v>
      </c>
      <c r="B307" s="0" t="s">
        <v>19</v>
      </c>
      <c r="C307" s="0" t="s">
        <v>90</v>
      </c>
      <c r="D307" s="59" t="str">
        <f aca="false">VLOOKUP(C307,Countries!$A$2:$B$11,2,0)</f>
        <v>Nigeria</v>
      </c>
      <c r="E307" s="0" t="s">
        <v>41</v>
      </c>
      <c r="F307" s="59" t="str">
        <f aca="false">VLOOKUP(E307,Models!$A$2:$B$13,2,0)</f>
        <v>75-inch 4K TV</v>
      </c>
      <c r="G307" s="9" t="n">
        <v>26</v>
      </c>
      <c r="H307" s="9" t="n">
        <v>945620</v>
      </c>
      <c r="I307" s="0" t="s">
        <v>93</v>
      </c>
    </row>
    <row r="308" customFormat="false" ht="12.8" hidden="false" customHeight="false" outlineLevel="0" collapsed="false">
      <c r="A308" s="0" t="s">
        <v>27</v>
      </c>
      <c r="B308" s="0" t="s">
        <v>19</v>
      </c>
      <c r="C308" s="0" t="s">
        <v>91</v>
      </c>
      <c r="D308" s="59" t="str">
        <f aca="false">VLOOKUP(C308,Countries!$A$2:$B$11,2,0)</f>
        <v>Saudi Arabia</v>
      </c>
      <c r="E308" s="0" t="s">
        <v>51</v>
      </c>
      <c r="F308" s="59" t="str">
        <f aca="false">VLOOKUP(E308,Models!$A$2:$B$13,2,0)</f>
        <v>24-inch HD TV</v>
      </c>
      <c r="G308" s="9" t="n">
        <v>42</v>
      </c>
      <c r="H308" s="9" t="n">
        <v>141960</v>
      </c>
      <c r="I308" s="0" t="s">
        <v>93</v>
      </c>
    </row>
    <row r="309" customFormat="false" ht="12.8" hidden="false" customHeight="false" outlineLevel="0" collapsed="false">
      <c r="A309" s="0" t="s">
        <v>27</v>
      </c>
      <c r="B309" s="0" t="s">
        <v>19</v>
      </c>
      <c r="C309" s="0" t="s">
        <v>91</v>
      </c>
      <c r="D309" s="59" t="str">
        <f aca="false">VLOOKUP(C309,Countries!$A$2:$B$11,2,0)</f>
        <v>Saudi Arabia</v>
      </c>
      <c r="E309" s="0" t="s">
        <v>44</v>
      </c>
      <c r="F309" s="59" t="str">
        <f aca="false">VLOOKUP(E309,Models!$A$2:$B$13,2,0)</f>
        <v>55-inch 4K TV</v>
      </c>
      <c r="G309" s="9" t="n">
        <v>49</v>
      </c>
      <c r="H309" s="9" t="n">
        <v>702660</v>
      </c>
      <c r="I309" s="0" t="s">
        <v>93</v>
      </c>
    </row>
    <row r="310" customFormat="false" ht="12.8" hidden="false" customHeight="false" outlineLevel="0" collapsed="false">
      <c r="A310" s="0" t="s">
        <v>27</v>
      </c>
      <c r="B310" s="0" t="s">
        <v>19</v>
      </c>
      <c r="C310" s="0" t="s">
        <v>91</v>
      </c>
      <c r="D310" s="59" t="str">
        <f aca="false">VLOOKUP(C310,Countries!$A$2:$B$11,2,0)</f>
        <v>Saudi Arabia</v>
      </c>
      <c r="E310" s="0" t="s">
        <v>41</v>
      </c>
      <c r="F310" s="59" t="str">
        <f aca="false">VLOOKUP(E310,Models!$A$2:$B$13,2,0)</f>
        <v>75-inch 4K TV</v>
      </c>
      <c r="G310" s="9" t="n">
        <v>125</v>
      </c>
      <c r="H310" s="9" t="n">
        <v>4546250</v>
      </c>
      <c r="I310" s="0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6"/>
    <col collapsed="false" customWidth="true" hidden="false" outlineLevel="0" max="2" min="2" style="0" width="15.32"/>
    <col collapsed="false" customWidth="true" hidden="false" outlineLevel="0" max="3" min="3" style="0" width="13.28"/>
    <col collapsed="false" customWidth="true" hidden="false" outlineLevel="0" max="4" min="4" style="0" width="12.26"/>
    <col collapsed="false" customWidth="true" hidden="false" outlineLevel="0" max="5" min="5" style="0" width="15.32"/>
  </cols>
  <sheetData>
    <row r="1" customFormat="false" ht="12.8" hidden="false" customHeight="false" outlineLevel="0" collapsed="false">
      <c r="A1" s="8" t="s">
        <v>21</v>
      </c>
      <c r="B1" s="8" t="s">
        <v>7</v>
      </c>
      <c r="C1" s="8" t="s">
        <v>94</v>
      </c>
      <c r="D1" s="8" t="s">
        <v>95</v>
      </c>
      <c r="E1" s="8" t="s">
        <v>96</v>
      </c>
    </row>
    <row r="2" customFormat="false" ht="12.8" hidden="false" customHeight="false" outlineLevel="0" collapsed="false">
      <c r="A2" s="0" t="s">
        <v>23</v>
      </c>
      <c r="B2" s="0" t="s">
        <v>16</v>
      </c>
      <c r="C2" s="9" t="n">
        <v>12</v>
      </c>
      <c r="D2" s="9" t="n">
        <v>1745</v>
      </c>
      <c r="E2" s="9" t="n">
        <v>33600</v>
      </c>
    </row>
    <row r="3" customFormat="false" ht="12.8" hidden="false" customHeight="false" outlineLevel="0" collapsed="false">
      <c r="A3" s="0" t="s">
        <v>23</v>
      </c>
      <c r="B3" s="0" t="s">
        <v>17</v>
      </c>
      <c r="C3" s="9" t="n">
        <v>10</v>
      </c>
      <c r="D3" s="9" t="n">
        <v>1451</v>
      </c>
      <c r="E3" s="9" t="n">
        <v>42000</v>
      </c>
    </row>
    <row r="4" customFormat="false" ht="12.8" hidden="false" customHeight="false" outlineLevel="0" collapsed="false">
      <c r="A4" s="0" t="s">
        <v>23</v>
      </c>
      <c r="B4" s="0" t="s">
        <v>18</v>
      </c>
      <c r="C4" s="9" t="n">
        <v>13</v>
      </c>
      <c r="D4" s="9" t="n">
        <v>1900</v>
      </c>
      <c r="E4" s="9" t="n">
        <v>45500</v>
      </c>
    </row>
    <row r="5" customFormat="false" ht="12.8" hidden="false" customHeight="false" outlineLevel="0" collapsed="false">
      <c r="A5" s="0" t="s">
        <v>23</v>
      </c>
      <c r="B5" s="0" t="s">
        <v>19</v>
      </c>
      <c r="C5" s="9" t="n">
        <v>6</v>
      </c>
      <c r="D5" s="9" t="n">
        <v>2242</v>
      </c>
      <c r="E5" s="9" t="n">
        <v>288000</v>
      </c>
    </row>
    <row r="6" customFormat="false" ht="12.8" hidden="false" customHeight="false" outlineLevel="0" collapsed="false">
      <c r="A6" s="0" t="s">
        <v>25</v>
      </c>
      <c r="B6" s="0" t="s">
        <v>16</v>
      </c>
      <c r="C6" s="9" t="n">
        <v>15</v>
      </c>
      <c r="D6" s="9" t="n">
        <v>2159</v>
      </c>
      <c r="E6" s="9" t="n">
        <v>42000</v>
      </c>
    </row>
    <row r="7" customFormat="false" ht="12.8" hidden="false" customHeight="false" outlineLevel="0" collapsed="false">
      <c r="A7" s="0" t="s">
        <v>25</v>
      </c>
      <c r="B7" s="0" t="s">
        <v>17</v>
      </c>
      <c r="C7" s="9" t="n">
        <v>10</v>
      </c>
      <c r="D7" s="9" t="n">
        <v>1406</v>
      </c>
      <c r="E7" s="9" t="n">
        <v>42000</v>
      </c>
    </row>
    <row r="8" customFormat="false" ht="12.8" hidden="false" customHeight="false" outlineLevel="0" collapsed="false">
      <c r="A8" s="0" t="s">
        <v>25</v>
      </c>
      <c r="B8" s="0" t="s">
        <v>18</v>
      </c>
      <c r="C8" s="9" t="n">
        <v>11</v>
      </c>
      <c r="D8" s="9" t="n">
        <v>1646</v>
      </c>
      <c r="E8" s="9" t="n">
        <v>38500</v>
      </c>
    </row>
    <row r="9" customFormat="false" ht="12.8" hidden="false" customHeight="false" outlineLevel="0" collapsed="false">
      <c r="A9" s="0" t="s">
        <v>25</v>
      </c>
      <c r="B9" s="0" t="s">
        <v>19</v>
      </c>
      <c r="C9" s="9" t="n">
        <v>8</v>
      </c>
      <c r="D9" s="9" t="n">
        <v>3081</v>
      </c>
      <c r="E9" s="9" t="n">
        <v>384000</v>
      </c>
    </row>
    <row r="10" customFormat="false" ht="12.8" hidden="false" customHeight="false" outlineLevel="0" collapsed="false">
      <c r="A10" s="0" t="s">
        <v>27</v>
      </c>
      <c r="B10" s="0" t="s">
        <v>16</v>
      </c>
      <c r="C10" s="9" t="n">
        <v>14</v>
      </c>
      <c r="D10" s="9" t="n">
        <v>2040</v>
      </c>
      <c r="E10" s="9" t="n">
        <v>39200</v>
      </c>
    </row>
    <row r="11" customFormat="false" ht="12.8" hidden="false" customHeight="false" outlineLevel="0" collapsed="false">
      <c r="A11" s="0" t="s">
        <v>27</v>
      </c>
      <c r="B11" s="0" t="s">
        <v>17</v>
      </c>
      <c r="C11" s="9" t="n">
        <v>13</v>
      </c>
      <c r="D11" s="9" t="n">
        <v>1915</v>
      </c>
      <c r="E11" s="9" t="n">
        <v>54600</v>
      </c>
    </row>
    <row r="12" customFormat="false" ht="12.8" hidden="false" customHeight="false" outlineLevel="0" collapsed="false">
      <c r="A12" s="0" t="s">
        <v>27</v>
      </c>
      <c r="B12" s="0" t="s">
        <v>18</v>
      </c>
      <c r="C12" s="9" t="n">
        <v>13</v>
      </c>
      <c r="D12" s="9" t="n">
        <v>1823</v>
      </c>
      <c r="E12" s="9" t="n">
        <v>45500</v>
      </c>
    </row>
    <row r="13" customFormat="false" ht="12.8" hidden="false" customHeight="false" outlineLevel="0" collapsed="false">
      <c r="A13" s="0" t="s">
        <v>27</v>
      </c>
      <c r="B13" s="0" t="s">
        <v>19</v>
      </c>
      <c r="C13" s="9" t="n">
        <v>10</v>
      </c>
      <c r="D13" s="9" t="n">
        <v>3868</v>
      </c>
      <c r="E13" s="9" t="n">
        <v>480000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6"/>
    <col collapsed="false" customWidth="true" hidden="false" outlineLevel="0" max="2" min="2" style="0" width="13.28"/>
    <col collapsed="false" customWidth="true" hidden="false" outlineLevel="0" max="3" min="3" style="0" width="23.49"/>
    <col collapsed="false" customWidth="true" hidden="false" outlineLevel="0" max="4" min="4" style="0" width="10.21"/>
  </cols>
  <sheetData>
    <row r="1" customFormat="false" ht="12.8" hidden="false" customHeight="false" outlineLevel="0" collapsed="false">
      <c r="A1" s="8" t="s">
        <v>21</v>
      </c>
      <c r="B1" s="8" t="s">
        <v>74</v>
      </c>
      <c r="C1" s="8" t="s">
        <v>36</v>
      </c>
      <c r="D1" s="8" t="s">
        <v>95</v>
      </c>
    </row>
    <row r="2" customFormat="false" ht="12.8" hidden="false" customHeight="false" outlineLevel="0" collapsed="false">
      <c r="A2" s="0" t="s">
        <v>23</v>
      </c>
      <c r="B2" s="0" t="s">
        <v>51</v>
      </c>
      <c r="C2" s="59" t="str">
        <f aca="false">VLOOKUP(B2,Models!$A$2:$B$13,2,0)</f>
        <v>24-inch HD TV</v>
      </c>
      <c r="D2" s="0" t="n">
        <v>3</v>
      </c>
    </row>
    <row r="3" customFormat="false" ht="12.8" hidden="false" customHeight="false" outlineLevel="0" collapsed="false">
      <c r="A3" s="0" t="s">
        <v>25</v>
      </c>
      <c r="B3" s="0" t="s">
        <v>51</v>
      </c>
      <c r="C3" s="59" t="str">
        <f aca="false">VLOOKUP(B3,Models!$A$2:$B$13,2,0)</f>
        <v>24-inch HD TV</v>
      </c>
      <c r="D3" s="0" t="n">
        <v>8</v>
      </c>
    </row>
    <row r="4" customFormat="false" ht="12.8" hidden="false" customHeight="false" outlineLevel="0" collapsed="false">
      <c r="A4" s="0" t="s">
        <v>27</v>
      </c>
      <c r="B4" s="0" t="s">
        <v>51</v>
      </c>
      <c r="C4" s="59" t="str">
        <f aca="false">VLOOKUP(B4,Models!$A$2:$B$13,2,0)</f>
        <v>24-inch HD TV</v>
      </c>
      <c r="D4" s="0" t="n">
        <v>5</v>
      </c>
    </row>
    <row r="5" customFormat="false" ht="12.8" hidden="false" customHeight="false" outlineLevel="0" collapsed="false">
      <c r="A5" s="0" t="s">
        <v>23</v>
      </c>
      <c r="B5" s="0" t="s">
        <v>43</v>
      </c>
      <c r="C5" s="59" t="str">
        <f aca="false">VLOOKUP(B5,Models!$A$2:$B$13,2,0)</f>
        <v>32-inch HD TV</v>
      </c>
      <c r="D5" s="0" t="n">
        <v>7</v>
      </c>
    </row>
    <row r="6" customFormat="false" ht="12.8" hidden="false" customHeight="false" outlineLevel="0" collapsed="false">
      <c r="A6" s="0" t="s">
        <v>25</v>
      </c>
      <c r="B6" s="0" t="s">
        <v>43</v>
      </c>
      <c r="C6" s="59" t="str">
        <f aca="false">VLOOKUP(B6,Models!$A$2:$B$13,2,0)</f>
        <v>32-inch HD TV</v>
      </c>
      <c r="D6" s="0" t="n">
        <v>15</v>
      </c>
    </row>
    <row r="7" customFormat="false" ht="12.8" hidden="false" customHeight="false" outlineLevel="0" collapsed="false">
      <c r="A7" s="0" t="s">
        <v>27</v>
      </c>
      <c r="B7" s="0" t="s">
        <v>43</v>
      </c>
      <c r="C7" s="59" t="str">
        <f aca="false">VLOOKUP(B7,Models!$A$2:$B$13,2,0)</f>
        <v>32-inch HD TV</v>
      </c>
      <c r="D7" s="0" t="n">
        <v>12</v>
      </c>
    </row>
    <row r="8" customFormat="false" ht="12.8" hidden="false" customHeight="false" outlineLevel="0" collapsed="false">
      <c r="A8" s="0" t="s">
        <v>23</v>
      </c>
      <c r="B8" s="0" t="s">
        <v>47</v>
      </c>
      <c r="C8" s="59" t="str">
        <f aca="false">VLOOKUP(B8,Models!$A$2:$B$13,2,0)</f>
        <v>32-inch Smart TV</v>
      </c>
      <c r="D8" s="0" t="n">
        <v>8</v>
      </c>
    </row>
    <row r="9" customFormat="false" ht="12.8" hidden="false" customHeight="false" outlineLevel="0" collapsed="false">
      <c r="A9" s="0" t="s">
        <v>25</v>
      </c>
      <c r="B9" s="0" t="s">
        <v>47</v>
      </c>
      <c r="C9" s="59" t="str">
        <f aca="false">VLOOKUP(B9,Models!$A$2:$B$13,2,0)</f>
        <v>32-inch Smart TV</v>
      </c>
      <c r="D9" s="0" t="n">
        <v>8</v>
      </c>
    </row>
    <row r="10" customFormat="false" ht="12.8" hidden="false" customHeight="false" outlineLevel="0" collapsed="false">
      <c r="A10" s="0" t="s">
        <v>27</v>
      </c>
      <c r="B10" s="0" t="s">
        <v>47</v>
      </c>
      <c r="C10" s="59" t="str">
        <f aca="false">VLOOKUP(B10,Models!$A$2:$B$13,2,0)</f>
        <v>32-inch Smart TV</v>
      </c>
      <c r="D10" s="0" t="n">
        <v>3</v>
      </c>
    </row>
    <row r="11" customFormat="false" ht="12.8" hidden="false" customHeight="false" outlineLevel="0" collapsed="false">
      <c r="A11" s="0" t="s">
        <v>23</v>
      </c>
      <c r="B11" s="0" t="s">
        <v>45</v>
      </c>
      <c r="C11" s="59" t="str">
        <f aca="false">VLOOKUP(B11,Models!$A$2:$B$13,2,0)</f>
        <v>40-inch Full HD TV</v>
      </c>
      <c r="D11" s="0" t="n">
        <v>7</v>
      </c>
    </row>
    <row r="12" customFormat="false" ht="12.8" hidden="false" customHeight="false" outlineLevel="0" collapsed="false">
      <c r="A12" s="0" t="s">
        <v>25</v>
      </c>
      <c r="B12" s="0" t="s">
        <v>45</v>
      </c>
      <c r="C12" s="59" t="str">
        <f aca="false">VLOOKUP(B12,Models!$A$2:$B$13,2,0)</f>
        <v>40-inch Full HD TV</v>
      </c>
      <c r="D12" s="0" t="n">
        <v>9</v>
      </c>
    </row>
    <row r="13" customFormat="false" ht="12.8" hidden="false" customHeight="false" outlineLevel="0" collapsed="false">
      <c r="A13" s="0" t="s">
        <v>27</v>
      </c>
      <c r="B13" s="0" t="s">
        <v>45</v>
      </c>
      <c r="C13" s="59" t="str">
        <f aca="false">VLOOKUP(B13,Models!$A$2:$B$13,2,0)</f>
        <v>40-inch Full HD TV</v>
      </c>
      <c r="D13" s="0" t="n">
        <v>14</v>
      </c>
    </row>
    <row r="14" customFormat="false" ht="12.8" hidden="false" customHeight="false" outlineLevel="0" collapsed="false">
      <c r="A14" s="0" t="s">
        <v>23</v>
      </c>
      <c r="B14" s="0" t="s">
        <v>46</v>
      </c>
      <c r="C14" s="59" t="str">
        <f aca="false">VLOOKUP(B14,Models!$A$2:$B$13,2,0)</f>
        <v>43-inch Full HD TV</v>
      </c>
      <c r="D14" s="0" t="n">
        <v>13</v>
      </c>
    </row>
    <row r="15" customFormat="false" ht="12.8" hidden="false" customHeight="false" outlineLevel="0" collapsed="false">
      <c r="A15" s="0" t="s">
        <v>25</v>
      </c>
      <c r="B15" s="0" t="s">
        <v>46</v>
      </c>
      <c r="C15" s="59" t="str">
        <f aca="false">VLOOKUP(B15,Models!$A$2:$B$13,2,0)</f>
        <v>43-inch Full HD TV</v>
      </c>
      <c r="D15" s="0" t="n">
        <v>6</v>
      </c>
    </row>
    <row r="16" customFormat="false" ht="12.8" hidden="false" customHeight="false" outlineLevel="0" collapsed="false">
      <c r="A16" s="0" t="s">
        <v>27</v>
      </c>
      <c r="B16" s="0" t="s">
        <v>46</v>
      </c>
      <c r="C16" s="59" t="str">
        <f aca="false">VLOOKUP(B16,Models!$A$2:$B$13,2,0)</f>
        <v>43-inch Full HD TV</v>
      </c>
      <c r="D16" s="0" t="n">
        <v>3</v>
      </c>
    </row>
    <row r="17" customFormat="false" ht="12.8" hidden="false" customHeight="false" outlineLevel="0" collapsed="false">
      <c r="A17" s="0" t="s">
        <v>23</v>
      </c>
      <c r="B17" s="0" t="s">
        <v>49</v>
      </c>
      <c r="C17" s="59" t="str">
        <f aca="false">VLOOKUP(B17,Models!$A$2:$B$13,2,0)</f>
        <v>43-inch Smart TV</v>
      </c>
      <c r="D17" s="0" t="n">
        <v>2</v>
      </c>
    </row>
    <row r="18" customFormat="false" ht="12.8" hidden="false" customHeight="false" outlineLevel="0" collapsed="false">
      <c r="A18" s="0" t="s">
        <v>25</v>
      </c>
      <c r="B18" s="0" t="s">
        <v>49</v>
      </c>
      <c r="C18" s="59" t="str">
        <f aca="false">VLOOKUP(B18,Models!$A$2:$B$13,2,0)</f>
        <v>43-inch Smart TV</v>
      </c>
      <c r="D18" s="0" t="n">
        <v>2</v>
      </c>
    </row>
    <row r="19" customFormat="false" ht="12.8" hidden="false" customHeight="false" outlineLevel="0" collapsed="false">
      <c r="A19" s="0" t="s">
        <v>27</v>
      </c>
      <c r="B19" s="0" t="s">
        <v>49</v>
      </c>
      <c r="C19" s="59" t="str">
        <f aca="false">VLOOKUP(B19,Models!$A$2:$B$13,2,0)</f>
        <v>43-inch Smart TV</v>
      </c>
      <c r="D19" s="0" t="n">
        <v>12</v>
      </c>
    </row>
    <row r="20" customFormat="false" ht="12.8" hidden="false" customHeight="false" outlineLevel="0" collapsed="false">
      <c r="A20" s="0" t="s">
        <v>23</v>
      </c>
      <c r="B20" s="0" t="s">
        <v>50</v>
      </c>
      <c r="C20" s="59" t="str">
        <f aca="false">VLOOKUP(B20,Models!$A$2:$B$13,2,0)</f>
        <v>50-inch 4K TV</v>
      </c>
      <c r="D20" s="0" t="n">
        <v>2</v>
      </c>
    </row>
    <row r="21" customFormat="false" ht="12.8" hidden="false" customHeight="false" outlineLevel="0" collapsed="false">
      <c r="A21" s="0" t="s">
        <v>25</v>
      </c>
      <c r="B21" s="0" t="s">
        <v>50</v>
      </c>
      <c r="C21" s="59" t="str">
        <f aca="false">VLOOKUP(B21,Models!$A$2:$B$13,2,0)</f>
        <v>50-inch 4K TV</v>
      </c>
      <c r="D21" s="0" t="n">
        <v>5</v>
      </c>
    </row>
    <row r="22" customFormat="false" ht="12.8" hidden="false" customHeight="false" outlineLevel="0" collapsed="false">
      <c r="A22" s="0" t="s">
        <v>27</v>
      </c>
      <c r="B22" s="0" t="s">
        <v>50</v>
      </c>
      <c r="C22" s="59" t="str">
        <f aca="false">VLOOKUP(B22,Models!$A$2:$B$13,2,0)</f>
        <v>50-inch 4K TV</v>
      </c>
      <c r="D22" s="0" t="n">
        <v>5</v>
      </c>
    </row>
    <row r="23" customFormat="false" ht="12.8" hidden="false" customHeight="false" outlineLevel="0" collapsed="false">
      <c r="A23" s="0" t="s">
        <v>23</v>
      </c>
      <c r="B23" s="0" t="s">
        <v>44</v>
      </c>
      <c r="C23" s="59" t="str">
        <f aca="false">VLOOKUP(B23,Models!$A$2:$B$13,2,0)</f>
        <v>55-inch 4K TV</v>
      </c>
      <c r="D23" s="0" t="n">
        <v>3</v>
      </c>
    </row>
    <row r="24" customFormat="false" ht="12.8" hidden="false" customHeight="false" outlineLevel="0" collapsed="false">
      <c r="A24" s="0" t="s">
        <v>25</v>
      </c>
      <c r="B24" s="0" t="s">
        <v>44</v>
      </c>
      <c r="C24" s="59" t="str">
        <f aca="false">VLOOKUP(B24,Models!$A$2:$B$13,2,0)</f>
        <v>55-inch 4K TV</v>
      </c>
      <c r="D24" s="0" t="n">
        <v>9</v>
      </c>
    </row>
    <row r="25" customFormat="false" ht="12.8" hidden="false" customHeight="false" outlineLevel="0" collapsed="false">
      <c r="A25" s="0" t="s">
        <v>27</v>
      </c>
      <c r="B25" s="0" t="s">
        <v>44</v>
      </c>
      <c r="C25" s="59" t="str">
        <f aca="false">VLOOKUP(B25,Models!$A$2:$B$13,2,0)</f>
        <v>55-inch 4K TV</v>
      </c>
      <c r="D25" s="0" t="n">
        <v>17</v>
      </c>
    </row>
    <row r="26" customFormat="false" ht="12.8" hidden="false" customHeight="false" outlineLevel="0" collapsed="false">
      <c r="A26" s="0" t="s">
        <v>23</v>
      </c>
      <c r="B26" s="0" t="s">
        <v>48</v>
      </c>
      <c r="C26" s="59" t="str">
        <f aca="false">VLOOKUP(B26,Models!$A$2:$B$13,2,0)</f>
        <v>55-inch QLED TV</v>
      </c>
      <c r="D26" s="0" t="n">
        <v>5</v>
      </c>
    </row>
    <row r="27" customFormat="false" ht="12.8" hidden="false" customHeight="false" outlineLevel="0" collapsed="false">
      <c r="A27" s="0" t="s">
        <v>25</v>
      </c>
      <c r="B27" s="0" t="s">
        <v>48</v>
      </c>
      <c r="C27" s="59" t="str">
        <f aca="false">VLOOKUP(B27,Models!$A$2:$B$13,2,0)</f>
        <v>55-inch QLED TV</v>
      </c>
      <c r="D27" s="0" t="n">
        <v>3</v>
      </c>
    </row>
    <row r="28" customFormat="false" ht="12.8" hidden="false" customHeight="false" outlineLevel="0" collapsed="false">
      <c r="A28" s="0" t="s">
        <v>27</v>
      </c>
      <c r="B28" s="0" t="s">
        <v>48</v>
      </c>
      <c r="C28" s="59" t="str">
        <f aca="false">VLOOKUP(B28,Models!$A$2:$B$13,2,0)</f>
        <v>55-inch QLED TV</v>
      </c>
      <c r="D28" s="0" t="n">
        <v>6</v>
      </c>
    </row>
    <row r="29" customFormat="false" ht="12.8" hidden="false" customHeight="false" outlineLevel="0" collapsed="false">
      <c r="A29" s="0" t="s">
        <v>23</v>
      </c>
      <c r="B29" s="0" t="s">
        <v>40</v>
      </c>
      <c r="C29" s="59" t="str">
        <f aca="false">VLOOKUP(B29,Models!$A$2:$B$13,2,0)</f>
        <v>65-inch 4K TV</v>
      </c>
      <c r="D29" s="0" t="n">
        <v>14</v>
      </c>
    </row>
    <row r="30" customFormat="false" ht="12.8" hidden="false" customHeight="false" outlineLevel="0" collapsed="false">
      <c r="A30" s="0" t="s">
        <v>25</v>
      </c>
      <c r="B30" s="0" t="s">
        <v>40</v>
      </c>
      <c r="C30" s="59" t="str">
        <f aca="false">VLOOKUP(B30,Models!$A$2:$B$13,2,0)</f>
        <v>65-inch 4K TV</v>
      </c>
      <c r="D30" s="0" t="n">
        <v>14</v>
      </c>
    </row>
    <row r="31" customFormat="false" ht="12.8" hidden="false" customHeight="false" outlineLevel="0" collapsed="false">
      <c r="A31" s="0" t="s">
        <v>27</v>
      </c>
      <c r="B31" s="0" t="s">
        <v>40</v>
      </c>
      <c r="C31" s="59" t="str">
        <f aca="false">VLOOKUP(B31,Models!$A$2:$B$13,2,0)</f>
        <v>65-inch 4K TV</v>
      </c>
      <c r="D31" s="0" t="n">
        <v>6</v>
      </c>
    </row>
    <row r="32" customFormat="false" ht="12.8" hidden="false" customHeight="false" outlineLevel="0" collapsed="false">
      <c r="A32" s="0" t="s">
        <v>23</v>
      </c>
      <c r="B32" s="0" t="s">
        <v>42</v>
      </c>
      <c r="C32" s="59" t="str">
        <f aca="false">VLOOKUP(B32,Models!$A$2:$B$13,2,0)</f>
        <v>65-inch QLED TV</v>
      </c>
      <c r="D32" s="0" t="n">
        <v>15</v>
      </c>
    </row>
    <row r="33" customFormat="false" ht="12.8" hidden="false" customHeight="false" outlineLevel="0" collapsed="false">
      <c r="A33" s="0" t="s">
        <v>25</v>
      </c>
      <c r="B33" s="0" t="s">
        <v>42</v>
      </c>
      <c r="C33" s="59" t="str">
        <f aca="false">VLOOKUP(B33,Models!$A$2:$B$13,2,0)</f>
        <v>65-inch QLED TV</v>
      </c>
      <c r="D33" s="0" t="n">
        <v>7</v>
      </c>
    </row>
    <row r="34" customFormat="false" ht="12.8" hidden="false" customHeight="false" outlineLevel="0" collapsed="false">
      <c r="A34" s="0" t="s">
        <v>27</v>
      </c>
      <c r="B34" s="0" t="s">
        <v>42</v>
      </c>
      <c r="C34" s="59" t="str">
        <f aca="false">VLOOKUP(B34,Models!$A$2:$B$13,2,0)</f>
        <v>65-inch QLED TV</v>
      </c>
      <c r="D34" s="0" t="n">
        <v>3</v>
      </c>
    </row>
    <row r="35" customFormat="false" ht="12.8" hidden="false" customHeight="false" outlineLevel="0" collapsed="false">
      <c r="A35" s="0" t="s">
        <v>23</v>
      </c>
      <c r="B35" s="0" t="s">
        <v>41</v>
      </c>
      <c r="C35" s="59" t="str">
        <f aca="false">VLOOKUP(B35,Models!$A$2:$B$13,2,0)</f>
        <v>75-inch 4K TV</v>
      </c>
      <c r="D35" s="0" t="n">
        <v>14</v>
      </c>
    </row>
    <row r="36" customFormat="false" ht="12.8" hidden="false" customHeight="false" outlineLevel="0" collapsed="false">
      <c r="A36" s="0" t="s">
        <v>25</v>
      </c>
      <c r="B36" s="0" t="s">
        <v>41</v>
      </c>
      <c r="C36" s="59" t="str">
        <f aca="false">VLOOKUP(B36,Models!$A$2:$B$13,2,0)</f>
        <v>75-inch 4K TV</v>
      </c>
      <c r="D36" s="0" t="n">
        <v>10</v>
      </c>
    </row>
    <row r="37" customFormat="false" ht="12.8" hidden="false" customHeight="false" outlineLevel="0" collapsed="false">
      <c r="A37" s="0" t="s">
        <v>27</v>
      </c>
      <c r="B37" s="0" t="s">
        <v>41</v>
      </c>
      <c r="C37" s="59" t="str">
        <f aca="false">VLOOKUP(B37,Models!$A$2:$B$13,2,0)</f>
        <v>75-inch 4K TV</v>
      </c>
      <c r="D37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18.39"/>
  </cols>
  <sheetData>
    <row r="1" customFormat="false" ht="12.8" hidden="false" customHeight="false" outlineLevel="0" collapsed="false">
      <c r="A1" s="8" t="s">
        <v>7</v>
      </c>
      <c r="B1" s="8" t="s">
        <v>97</v>
      </c>
      <c r="C1" s="8" t="s">
        <v>98</v>
      </c>
    </row>
    <row r="2" customFormat="false" ht="12.8" hidden="false" customHeight="false" outlineLevel="0" collapsed="false">
      <c r="A2" s="0" t="s">
        <v>16</v>
      </c>
      <c r="B2" s="9" t="n">
        <v>6200</v>
      </c>
      <c r="C2" s="9" t="n">
        <v>75000000</v>
      </c>
    </row>
    <row r="3" customFormat="false" ht="12.8" hidden="false" customHeight="false" outlineLevel="0" collapsed="false">
      <c r="A3" s="0" t="s">
        <v>17</v>
      </c>
      <c r="B3" s="9" t="n">
        <v>4400</v>
      </c>
      <c r="C3" s="9" t="n">
        <v>47000000</v>
      </c>
    </row>
    <row r="4" customFormat="false" ht="12.8" hidden="false" customHeight="false" outlineLevel="0" collapsed="false">
      <c r="A4" s="0" t="s">
        <v>18</v>
      </c>
      <c r="B4" s="9" t="n">
        <v>5900</v>
      </c>
      <c r="C4" s="9" t="n">
        <v>63000000</v>
      </c>
    </row>
    <row r="5" customFormat="false" ht="12.8" hidden="false" customHeight="false" outlineLevel="0" collapsed="false">
      <c r="A5" s="0" t="s">
        <v>19</v>
      </c>
      <c r="B5" s="9" t="n">
        <v>8900</v>
      </c>
      <c r="C5" s="9" t="n">
        <v>144000000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6.56"/>
  </cols>
  <sheetData>
    <row r="1" customFormat="false" ht="12.8" hidden="false" customHeight="false" outlineLevel="0" collapsed="false">
      <c r="A1" s="8" t="s">
        <v>74</v>
      </c>
      <c r="B1" s="8" t="s">
        <v>36</v>
      </c>
    </row>
    <row r="2" customFormat="false" ht="12.8" hidden="false" customHeight="false" outlineLevel="0" collapsed="false">
      <c r="A2" s="0" t="s">
        <v>51</v>
      </c>
      <c r="B2" s="0" t="s">
        <v>59</v>
      </c>
    </row>
    <row r="3" customFormat="false" ht="12.8" hidden="false" customHeight="false" outlineLevel="0" collapsed="false">
      <c r="A3" s="0" t="s">
        <v>43</v>
      </c>
      <c r="B3" s="0" t="s">
        <v>60</v>
      </c>
    </row>
    <row r="4" customFormat="false" ht="12.8" hidden="false" customHeight="false" outlineLevel="0" collapsed="false">
      <c r="A4" s="0" t="s">
        <v>47</v>
      </c>
      <c r="B4" s="0" t="s">
        <v>61</v>
      </c>
    </row>
    <row r="5" customFormat="false" ht="12.8" hidden="false" customHeight="false" outlineLevel="0" collapsed="false">
      <c r="A5" s="0" t="s">
        <v>45</v>
      </c>
      <c r="B5" s="0" t="s">
        <v>62</v>
      </c>
    </row>
    <row r="6" customFormat="false" ht="12.8" hidden="false" customHeight="false" outlineLevel="0" collapsed="false">
      <c r="A6" s="0" t="s">
        <v>46</v>
      </c>
      <c r="B6" s="0" t="s">
        <v>63</v>
      </c>
    </row>
    <row r="7" customFormat="false" ht="12.8" hidden="false" customHeight="false" outlineLevel="0" collapsed="false">
      <c r="A7" s="0" t="s">
        <v>49</v>
      </c>
      <c r="B7" s="0" t="s">
        <v>64</v>
      </c>
    </row>
    <row r="8" customFormat="false" ht="12.8" hidden="false" customHeight="false" outlineLevel="0" collapsed="false">
      <c r="A8" s="0" t="s">
        <v>50</v>
      </c>
      <c r="B8" s="0" t="s">
        <v>65</v>
      </c>
    </row>
    <row r="9" customFormat="false" ht="12.8" hidden="false" customHeight="false" outlineLevel="0" collapsed="false">
      <c r="A9" s="0" t="s">
        <v>44</v>
      </c>
      <c r="B9" s="0" t="s">
        <v>66</v>
      </c>
    </row>
    <row r="10" customFormat="false" ht="12.8" hidden="false" customHeight="false" outlineLevel="0" collapsed="false">
      <c r="A10" s="0" t="s">
        <v>48</v>
      </c>
      <c r="B10" s="0" t="s">
        <v>67</v>
      </c>
    </row>
    <row r="11" customFormat="false" ht="12.8" hidden="false" customHeight="false" outlineLevel="0" collapsed="false">
      <c r="A11" s="0" t="s">
        <v>40</v>
      </c>
      <c r="B11" s="0" t="s">
        <v>68</v>
      </c>
    </row>
    <row r="12" customFormat="false" ht="12.8" hidden="false" customHeight="false" outlineLevel="0" collapsed="false">
      <c r="A12" s="0" t="s">
        <v>42</v>
      </c>
      <c r="B12" s="0" t="s">
        <v>70</v>
      </c>
    </row>
    <row r="13" customFormat="false" ht="12.8" hidden="false" customHeight="false" outlineLevel="0" collapsed="false">
      <c r="A13" s="0" t="s">
        <v>41</v>
      </c>
      <c r="B13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6.56"/>
  </cols>
  <sheetData>
    <row r="1" customFormat="false" ht="12.8" hidden="false" customHeight="false" outlineLevel="0" collapsed="false">
      <c r="A1" s="8" t="s">
        <v>73</v>
      </c>
      <c r="B1" s="8" t="s">
        <v>55</v>
      </c>
    </row>
    <row r="2" customFormat="false" ht="12.8" hidden="false" customHeight="false" outlineLevel="0" collapsed="false">
      <c r="A2" s="0" t="s">
        <v>78</v>
      </c>
      <c r="B2" s="0" t="s">
        <v>57</v>
      </c>
    </row>
    <row r="3" customFormat="false" ht="12.8" hidden="false" customHeight="false" outlineLevel="0" collapsed="false">
      <c r="A3" s="0" t="s">
        <v>91</v>
      </c>
      <c r="B3" s="0" t="s">
        <v>30</v>
      </c>
    </row>
    <row r="4" customFormat="false" ht="12.8" hidden="false" customHeight="false" outlineLevel="0" collapsed="false">
      <c r="A4" s="0" t="s">
        <v>82</v>
      </c>
      <c r="B4" s="0" t="s">
        <v>29</v>
      </c>
    </row>
    <row r="5" customFormat="false" ht="12.8" hidden="false" customHeight="false" outlineLevel="0" collapsed="false">
      <c r="A5" s="0" t="s">
        <v>87</v>
      </c>
      <c r="B5" s="0" t="s">
        <v>28</v>
      </c>
    </row>
    <row r="6" customFormat="false" ht="12.8" hidden="false" customHeight="false" outlineLevel="0" collapsed="false">
      <c r="A6" s="0" t="s">
        <v>85</v>
      </c>
      <c r="B6" s="0" t="s">
        <v>33</v>
      </c>
    </row>
    <row r="7" customFormat="false" ht="12.8" hidden="false" customHeight="false" outlineLevel="0" collapsed="false">
      <c r="A7" s="0" t="s">
        <v>84</v>
      </c>
      <c r="B7" s="0" t="s">
        <v>24</v>
      </c>
    </row>
    <row r="8" customFormat="false" ht="12.8" hidden="false" customHeight="false" outlineLevel="0" collapsed="false">
      <c r="A8" s="0" t="s">
        <v>88</v>
      </c>
      <c r="B8" s="0" t="s">
        <v>26</v>
      </c>
    </row>
    <row r="9" customFormat="false" ht="12.8" hidden="false" customHeight="false" outlineLevel="0" collapsed="false">
      <c r="A9" s="0" t="s">
        <v>89</v>
      </c>
      <c r="B9" s="0" t="s">
        <v>32</v>
      </c>
    </row>
    <row r="10" customFormat="false" ht="12.8" hidden="false" customHeight="false" outlineLevel="0" collapsed="false">
      <c r="A10" s="0" t="s">
        <v>86</v>
      </c>
      <c r="B10" s="0" t="s">
        <v>34</v>
      </c>
    </row>
    <row r="11" customFormat="false" ht="12.8" hidden="false" customHeight="false" outlineLevel="0" collapsed="false">
      <c r="A11" s="0" t="s">
        <v>90</v>
      </c>
      <c r="B11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2026-10-25T05:59:27Z</dcterms:modified>
  <cp:revision>1</cp:revision>
  <dc:subject/>
  <dc:title/>
</cp:coreProperties>
</file>